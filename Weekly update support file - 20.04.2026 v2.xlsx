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Finance\"/>
    </mc:Choice>
  </mc:AlternateContent>
  <xr:revisionPtr revIDLastSave="0" documentId="8_{33FBFFB5-9CE0-40F3-8155-F290B5E526E4}" xr6:coauthVersionLast="47" xr6:coauthVersionMax="47" xr10:uidLastSave="{00000000-0000-0000-0000-000000000000}"/>
  <bookViews>
    <workbookView xWindow="-110" yWindow="-110" windowWidth="19420" windowHeight="11500" activeTab="3" xr2:uid="{4E6EDEE0-E9A3-443D-9A52-EA059B7AE11B}"/>
  </bookViews>
  <sheets>
    <sheet name="Signings" sheetId="7" r:id="rId1"/>
    <sheet name="Operational" sheetId="2" r:id="rId2"/>
    <sheet name="Revenue" sheetId="3" r:id="rId3"/>
    <sheet name="cashflow" sheetId="4" r:id="rId4"/>
    <sheet name="Inflow" sheetId="5" r:id="rId5"/>
    <sheet name="Sheet1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3" i="7" l="1"/>
  <c r="R14" i="2" l="1"/>
  <c r="E14" i="2"/>
  <c r="F14" i="2"/>
  <c r="G14" i="2"/>
  <c r="H14" i="2"/>
  <c r="I14" i="2"/>
  <c r="J14" i="2"/>
  <c r="K14" i="2"/>
  <c r="L14" i="2"/>
  <c r="M14" i="2"/>
  <c r="N14" i="2"/>
  <c r="O14" i="2"/>
  <c r="D14" i="2"/>
  <c r="R10" i="2"/>
  <c r="Q11" i="2"/>
  <c r="Q10" i="2"/>
  <c r="Q5" i="2"/>
  <c r="H9" i="4"/>
  <c r="D39" i="5"/>
  <c r="E39" i="5"/>
  <c r="F39" i="5"/>
  <c r="H39" i="5"/>
  <c r="E10" i="4"/>
  <c r="F10" i="4"/>
  <c r="H10" i="4" s="1"/>
  <c r="G10" i="4"/>
  <c r="D10" i="4"/>
  <c r="E9" i="4"/>
  <c r="F9" i="4"/>
  <c r="G9" i="4"/>
  <c r="D9" i="4"/>
  <c r="E8" i="4"/>
  <c r="F8" i="4"/>
  <c r="H8" i="4" s="1"/>
  <c r="G8" i="4"/>
  <c r="D8" i="4"/>
  <c r="C8" i="4"/>
  <c r="I36" i="5"/>
  <c r="I37" i="5"/>
  <c r="I38" i="5"/>
  <c r="C39" i="5"/>
  <c r="J34" i="5"/>
  <c r="I34" i="5"/>
  <c r="I35" i="5"/>
  <c r="J35" i="5" s="1"/>
  <c r="I33" i="5"/>
  <c r="J33" i="5" s="1"/>
  <c r="H32" i="5"/>
  <c r="G32" i="5"/>
  <c r="G39" i="5" s="1"/>
  <c r="I39" i="5" s="1"/>
  <c r="J39" i="5" s="1"/>
  <c r="F32" i="5"/>
  <c r="E32" i="5"/>
  <c r="D32" i="5"/>
  <c r="C32" i="5"/>
  <c r="I32" i="5" s="1"/>
  <c r="J32" i="5" s="1"/>
  <c r="I31" i="5"/>
  <c r="I30" i="5"/>
  <c r="I29" i="5"/>
  <c r="I28" i="5"/>
  <c r="I27" i="5"/>
  <c r="I26" i="5"/>
  <c r="I25" i="5"/>
  <c r="I24" i="5"/>
  <c r="I23" i="5"/>
  <c r="C22" i="5"/>
  <c r="I22" i="5" s="1"/>
  <c r="I21" i="5"/>
  <c r="I20" i="5"/>
  <c r="I19" i="5"/>
  <c r="I18" i="5"/>
  <c r="I17" i="5"/>
  <c r="I16" i="5"/>
  <c r="I15" i="5"/>
  <c r="I14" i="5"/>
  <c r="I13" i="5"/>
  <c r="I12" i="5"/>
  <c r="I11" i="5"/>
  <c r="I10" i="5"/>
  <c r="F6" i="3"/>
  <c r="P13" i="7" l="1"/>
  <c r="G26" i="7"/>
  <c r="G25" i="7"/>
  <c r="O4" i="7" s="1"/>
  <c r="P4" i="7" s="1"/>
  <c r="G24" i="7"/>
  <c r="O14" i="7" s="1"/>
  <c r="P14" i="7" s="1"/>
  <c r="B16" i="7"/>
  <c r="C16" i="7" s="1"/>
  <c r="D16" i="7" s="1"/>
  <c r="E16" i="7" s="1"/>
  <c r="F16" i="7" s="1"/>
  <c r="G16" i="7" s="1"/>
  <c r="H16" i="7" s="1"/>
  <c r="I16" i="7" s="1"/>
  <c r="J16" i="7" s="1"/>
  <c r="K16" i="7" s="1"/>
  <c r="L16" i="7" s="1"/>
  <c r="M16" i="7" s="1"/>
  <c r="N16" i="7" s="1"/>
  <c r="O16" i="7" s="1"/>
  <c r="C15" i="7"/>
  <c r="D15" i="7" s="1"/>
  <c r="E15" i="7" s="1"/>
  <c r="F15" i="7" s="1"/>
  <c r="G15" i="7" s="1"/>
  <c r="H15" i="7" s="1"/>
  <c r="I15" i="7" s="1"/>
  <c r="J15" i="7" s="1"/>
  <c r="K15" i="7" s="1"/>
  <c r="L15" i="7" s="1"/>
  <c r="M15" i="7" s="1"/>
  <c r="N15" i="7" s="1"/>
  <c r="B15" i="7"/>
  <c r="B11" i="7"/>
  <c r="C11" i="7" s="1"/>
  <c r="D11" i="7" s="1"/>
  <c r="E11" i="7" s="1"/>
  <c r="F11" i="7" s="1"/>
  <c r="G11" i="7" s="1"/>
  <c r="H11" i="7" s="1"/>
  <c r="I11" i="7" s="1"/>
  <c r="J11" i="7" s="1"/>
  <c r="K11" i="7" s="1"/>
  <c r="L11" i="7" s="1"/>
  <c r="M11" i="7" s="1"/>
  <c r="N11" i="7" s="1"/>
  <c r="O11" i="7" s="1"/>
  <c r="P11" i="7" s="1"/>
  <c r="C10" i="7"/>
  <c r="D10" i="7" s="1"/>
  <c r="E10" i="7" s="1"/>
  <c r="F10" i="7" s="1"/>
  <c r="G10" i="7" s="1"/>
  <c r="H10" i="7" s="1"/>
  <c r="I10" i="7" s="1"/>
  <c r="J10" i="7" s="1"/>
  <c r="K10" i="7" s="1"/>
  <c r="L10" i="7" s="1"/>
  <c r="M10" i="7" s="1"/>
  <c r="N10" i="7" s="1"/>
  <c r="O10" i="7" s="1"/>
  <c r="B10" i="7"/>
  <c r="P9" i="7"/>
  <c r="P10" i="7" s="1"/>
  <c r="O9" i="7"/>
  <c r="P8" i="7"/>
  <c r="B6" i="7"/>
  <c r="C6" i="7" s="1"/>
  <c r="D6" i="7" s="1"/>
  <c r="E6" i="7" s="1"/>
  <c r="F6" i="7" s="1"/>
  <c r="G6" i="7" s="1"/>
  <c r="H6" i="7" s="1"/>
  <c r="I6" i="7" s="1"/>
  <c r="J6" i="7" s="1"/>
  <c r="K6" i="7" s="1"/>
  <c r="L6" i="7" s="1"/>
  <c r="M6" i="7" s="1"/>
  <c r="N6" i="7" s="1"/>
  <c r="O6" i="7" s="1"/>
  <c r="P6" i="7" s="1"/>
  <c r="C5" i="7"/>
  <c r="D5" i="7" s="1"/>
  <c r="E5" i="7" s="1"/>
  <c r="F5" i="7" s="1"/>
  <c r="G5" i="7" s="1"/>
  <c r="H5" i="7" s="1"/>
  <c r="I5" i="7" s="1"/>
  <c r="J5" i="7" s="1"/>
  <c r="K5" i="7" s="1"/>
  <c r="L5" i="7" s="1"/>
  <c r="M5" i="7" s="1"/>
  <c r="N5" i="7" s="1"/>
  <c r="O5" i="7" s="1"/>
  <c r="B5" i="7"/>
  <c r="P3" i="7"/>
  <c r="D1" i="7"/>
  <c r="E1" i="7" s="1"/>
  <c r="F1" i="7" s="1"/>
  <c r="G1" i="7" s="1"/>
  <c r="H1" i="7" s="1"/>
  <c r="I1" i="7" s="1"/>
  <c r="J1" i="7" s="1"/>
  <c r="K1" i="7" s="1"/>
  <c r="L1" i="7" s="1"/>
  <c r="M1" i="7" s="1"/>
  <c r="N1" i="7" s="1"/>
  <c r="O1" i="7" s="1"/>
  <c r="P16" i="7" l="1"/>
  <c r="O15" i="7"/>
  <c r="P15" i="7" s="1"/>
  <c r="P18" i="7"/>
  <c r="P5" i="7"/>
  <c r="P17" i="7"/>
  <c r="C9" i="4" l="1"/>
  <c r="C33" i="5"/>
  <c r="H15" i="4" l="1"/>
  <c r="E28" i="2"/>
  <c r="F28" i="2"/>
  <c r="G28" i="2"/>
  <c r="E29" i="2"/>
  <c r="F29" i="2"/>
  <c r="G29" i="2"/>
  <c r="D28" i="2"/>
  <c r="D29" i="2"/>
  <c r="H22" i="2"/>
  <c r="H23" i="2"/>
  <c r="H24" i="2"/>
  <c r="H25" i="2"/>
  <c r="H21" i="2"/>
  <c r="H29" i="2" l="1"/>
  <c r="H28" i="2"/>
  <c r="F11" i="4" l="1"/>
  <c r="G11" i="4"/>
  <c r="H11" i="4" l="1"/>
  <c r="H20" i="4" s="1"/>
  <c r="D11" i="4"/>
  <c r="C29" i="2"/>
  <c r="C28" i="2"/>
  <c r="N13" i="6" l="1"/>
  <c r="D8" i="6" l="1"/>
  <c r="D16" i="6"/>
  <c r="J15" i="3"/>
  <c r="J14" i="3"/>
  <c r="J6" i="3"/>
  <c r="J5" i="3"/>
  <c r="E11" i="4"/>
  <c r="C13" i="2"/>
  <c r="D13" i="2" s="1"/>
  <c r="E13" i="2" s="1"/>
  <c r="F13" i="2" s="1"/>
  <c r="G13" i="2" s="1"/>
  <c r="H13" i="2" s="1"/>
  <c r="I13" i="2" s="1"/>
  <c r="J13" i="2" s="1"/>
  <c r="K13" i="2" s="1"/>
  <c r="L13" i="2" s="1"/>
  <c r="M13" i="2" s="1"/>
  <c r="N13" i="2" s="1"/>
  <c r="O13" i="2" s="1"/>
  <c r="P13" i="2" s="1"/>
  <c r="Q6" i="2"/>
  <c r="C8" i="2"/>
  <c r="D8" i="2" s="1"/>
  <c r="E8" i="2" s="1"/>
  <c r="F8" i="2" s="1"/>
  <c r="G8" i="2" s="1"/>
  <c r="H8" i="2" s="1"/>
  <c r="I8" i="2" s="1"/>
  <c r="J8" i="2" s="1"/>
  <c r="K8" i="2" s="1"/>
  <c r="L8" i="2" s="1"/>
  <c r="M8" i="2" s="1"/>
  <c r="N8" i="2" s="1"/>
  <c r="O8" i="2" s="1"/>
  <c r="P8" i="2" s="1"/>
  <c r="I13" i="6"/>
  <c r="Q8" i="2" l="1"/>
  <c r="Q13" i="2"/>
  <c r="C10" i="4" l="1"/>
  <c r="C11" i="4" s="1"/>
  <c r="C12" i="2"/>
  <c r="D12" i="2" s="1"/>
  <c r="C7" i="2"/>
  <c r="D7" i="2" s="1"/>
  <c r="F26" i="3" l="1"/>
  <c r="C26" i="3"/>
  <c r="C17" i="3"/>
  <c r="D15" i="3" s="1"/>
  <c r="F17" i="3"/>
  <c r="J13" i="3" s="1"/>
  <c r="G14" i="3"/>
  <c r="F8" i="3"/>
  <c r="G6" i="3" s="1"/>
  <c r="C8" i="3"/>
  <c r="D6" i="3" s="1"/>
  <c r="E12" i="2"/>
  <c r="F12" i="2" s="1"/>
  <c r="G12" i="2" s="1"/>
  <c r="H12" i="2" s="1"/>
  <c r="I12" i="2" s="1"/>
  <c r="J12" i="2" s="1"/>
  <c r="K12" i="2" s="1"/>
  <c r="L12" i="2" s="1"/>
  <c r="M12" i="2" s="1"/>
  <c r="N12" i="2" s="1"/>
  <c r="O12" i="2" s="1"/>
  <c r="E7" i="2"/>
  <c r="F7" i="2" s="1"/>
  <c r="G7" i="2" s="1"/>
  <c r="H7" i="2" s="1"/>
  <c r="I7" i="2" s="1"/>
  <c r="J7" i="2" s="1"/>
  <c r="K7" i="2" s="1"/>
  <c r="L7" i="2" s="1"/>
  <c r="M7" i="2" s="1"/>
  <c r="N7" i="2" s="1"/>
  <c r="O7" i="2" s="1"/>
  <c r="E3" i="2"/>
  <c r="F3" i="2" s="1"/>
  <c r="G3" i="2" s="1"/>
  <c r="H3" i="2" s="1"/>
  <c r="I3" i="2" s="1"/>
  <c r="J3" i="2" s="1"/>
  <c r="K3" i="2" s="1"/>
  <c r="L3" i="2" s="1"/>
  <c r="M3" i="2" s="1"/>
  <c r="N3" i="2" s="1"/>
  <c r="O3" i="2" s="1"/>
  <c r="P3" i="2" s="1"/>
  <c r="O18" i="2" l="1"/>
  <c r="P12" i="2"/>
  <c r="Q7" i="2"/>
  <c r="P7" i="2"/>
  <c r="G15" i="3"/>
  <c r="G5" i="3"/>
  <c r="J4" i="3"/>
  <c r="D14" i="3"/>
  <c r="J22" i="3"/>
  <c r="Q12" i="2"/>
  <c r="D5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tc={4E6556D2-0A2F-4971-8F63-C779A68B9485}</author>
    <author>tc={9CFB65C3-A491-4F49-9291-182949A32499}</author>
    <author>tc={DF95D489-8FF7-426F-A630-91F27E5573F7}</author>
  </authors>
  <commentList>
    <comment ref="P5" authorId="0" shapeId="0" xr:uid="{4E6556D2-0A2F-4971-8F63-C779A68B948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Control
</t>
      </text>
    </comment>
    <comment ref="P10" authorId="1" shapeId="0" xr:uid="{9CFB65C3-A491-4F49-9291-182949A3249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Control
</t>
      </text>
    </comment>
    <comment ref="P15" authorId="2" shapeId="0" xr:uid="{DF95D489-8FF7-426F-A630-91F27E5573F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Control
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tc={CADE0C93-7C6B-4A65-9638-5BC952EBAF60}</author>
    <author>tc={93627DF0-F0EC-4D87-801B-760854F3EFE9}</author>
  </authors>
  <commentList>
    <comment ref="Q7" authorId="0" shapeId="0" xr:uid="{CADE0C93-7C6B-4A65-9638-5BC952EBAF6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Control
</t>
      </text>
    </comment>
    <comment ref="Q12" authorId="1" shapeId="0" xr:uid="{93627DF0-F0EC-4D87-801B-760854F3EFE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Control
</t>
      </text>
    </comment>
  </commentList>
</comments>
</file>

<file path=xl/sharedStrings.xml><?xml version="1.0" encoding="utf-8"?>
<sst xmlns="http://schemas.openxmlformats.org/spreadsheetml/2006/main" count="193" uniqueCount="126">
  <si>
    <t>Total Keys</t>
  </si>
  <si>
    <t>Total Properties</t>
  </si>
  <si>
    <t>OLIVE</t>
  </si>
  <si>
    <t>SPARK</t>
  </si>
  <si>
    <t>OPEN</t>
  </si>
  <si>
    <t>Total</t>
  </si>
  <si>
    <t>Cumulative</t>
  </si>
  <si>
    <t>Week 1</t>
  </si>
  <si>
    <t>Week 2</t>
  </si>
  <si>
    <t>Week 3</t>
  </si>
  <si>
    <t>Week 4</t>
  </si>
  <si>
    <t>Open</t>
  </si>
  <si>
    <t>Olive</t>
  </si>
  <si>
    <t>Spark</t>
  </si>
  <si>
    <t>Brands</t>
  </si>
  <si>
    <t>Target</t>
  </si>
  <si>
    <t>Actuals</t>
  </si>
  <si>
    <t>Online</t>
  </si>
  <si>
    <t>Offline</t>
  </si>
  <si>
    <t>March 25</t>
  </si>
  <si>
    <t>March 26</t>
  </si>
  <si>
    <t>Inflow</t>
  </si>
  <si>
    <t>Received</t>
  </si>
  <si>
    <t xml:space="preserve">Expected </t>
  </si>
  <si>
    <t>TA fees</t>
  </si>
  <si>
    <t>Management fees</t>
  </si>
  <si>
    <t>Outflow</t>
  </si>
  <si>
    <t>Current bank balance</t>
  </si>
  <si>
    <t>a) Spark</t>
  </si>
  <si>
    <t>Profit Incentive</t>
  </si>
  <si>
    <t>- Coliving</t>
  </si>
  <si>
    <t>-Coliving Operations</t>
  </si>
  <si>
    <t>-VARS</t>
  </si>
  <si>
    <t>Dairy circle</t>
  </si>
  <si>
    <t>kundahalli</t>
  </si>
  <si>
    <t>vijawada</t>
  </si>
  <si>
    <t>Vasanth nagar</t>
  </si>
  <si>
    <t>Rajaji nahar</t>
  </si>
  <si>
    <t>hitech</t>
  </si>
  <si>
    <t>Domlur</t>
  </si>
  <si>
    <t>Meera - Goa</t>
  </si>
  <si>
    <t>Indiranagar</t>
  </si>
  <si>
    <t>Nivasa</t>
  </si>
  <si>
    <t>-Salaries</t>
  </si>
  <si>
    <t>-EE reimbursements</t>
  </si>
  <si>
    <t>-medical insurance</t>
  </si>
  <si>
    <t>-OPC</t>
  </si>
  <si>
    <t>-Car EMI</t>
  </si>
  <si>
    <t>-Rent</t>
  </si>
  <si>
    <t>Operational</t>
  </si>
  <si>
    <t>brought forwrad</t>
  </si>
  <si>
    <t>Spark Saddahalli ft Nandan</t>
  </si>
  <si>
    <t>Tirumala Bypass Road, Tirupati</t>
  </si>
  <si>
    <t>b) Olive</t>
  </si>
  <si>
    <t>Olive Jayadeva Hospital</t>
  </si>
  <si>
    <t>REIT</t>
  </si>
  <si>
    <t>c) Open set-up fees</t>
  </si>
  <si>
    <t>Collections</t>
  </si>
  <si>
    <t xml:space="preserve">Total </t>
  </si>
  <si>
    <t>Total Inflow</t>
  </si>
  <si>
    <t>1. TA fees</t>
  </si>
  <si>
    <t>2. Management fees</t>
  </si>
  <si>
    <t>3. Profit Incentive</t>
  </si>
  <si>
    <t>Total TA fees</t>
  </si>
  <si>
    <t>Cashflow - Summary</t>
  </si>
  <si>
    <t>March '26</t>
  </si>
  <si>
    <t>brought forward</t>
  </si>
  <si>
    <t>Cumulative Properties</t>
  </si>
  <si>
    <t>Cumulative keys</t>
  </si>
  <si>
    <t>Cumulative Keys</t>
  </si>
  <si>
    <t>Cashflow - Breakdown</t>
  </si>
  <si>
    <t>Overall</t>
  </si>
  <si>
    <t>Achievement</t>
  </si>
  <si>
    <t>YoY - growth</t>
  </si>
  <si>
    <t xml:space="preserve">Olive  </t>
  </si>
  <si>
    <t>Closing Cash - expected</t>
  </si>
  <si>
    <t>-Hisca</t>
  </si>
  <si>
    <t>-Zoho</t>
  </si>
  <si>
    <t>Travel agency</t>
  </si>
  <si>
    <t>-Kingshuk</t>
  </si>
  <si>
    <t>-Properties</t>
  </si>
  <si>
    <t>-Keys</t>
  </si>
  <si>
    <t>April '26</t>
  </si>
  <si>
    <t>W1</t>
  </si>
  <si>
    <t>W2</t>
  </si>
  <si>
    <t>W3</t>
  </si>
  <si>
    <t>W4</t>
  </si>
  <si>
    <t>Expected</t>
  </si>
  <si>
    <t>Total properties</t>
  </si>
  <si>
    <t>Total keys</t>
  </si>
  <si>
    <t>March'26</t>
  </si>
  <si>
    <t>Spark Ruby, Kolkata</t>
  </si>
  <si>
    <t>Bengaluru - Spark - Sheshadripuram</t>
  </si>
  <si>
    <t>Chakan</t>
  </si>
  <si>
    <t>Spark Junagad</t>
  </si>
  <si>
    <t xml:space="preserve"> Banjaara Hills</t>
  </si>
  <si>
    <t>Portfolio Update:</t>
  </si>
  <si>
    <t>March'26 - same store - stable properties</t>
  </si>
  <si>
    <t>Revenue</t>
  </si>
  <si>
    <t>April'26 - same period</t>
  </si>
  <si>
    <t>April 25</t>
  </si>
  <si>
    <t>April 26</t>
  </si>
  <si>
    <t>April'26 - same period
26 same period
'26 - same period</t>
  </si>
  <si>
    <t>April</t>
  </si>
  <si>
    <t>Hulimavu, Bangalore</t>
  </si>
  <si>
    <t>Nagavara, Bangalore</t>
  </si>
  <si>
    <t>JP Nagar, Bangalore</t>
  </si>
  <si>
    <t>Olive Yelahanka near BMSIT BLR</t>
  </si>
  <si>
    <t>Guntur, AP</t>
  </si>
  <si>
    <t>30th April '26</t>
  </si>
  <si>
    <t>Andheri - Le Grande</t>
  </si>
  <si>
    <t>Spark Rajkot</t>
  </si>
  <si>
    <t>Spark Vision Ventures - Tathawade</t>
  </si>
  <si>
    <t>Olive Bharatpur</t>
  </si>
  <si>
    <t>Olive Kakkanad Info Park</t>
  </si>
  <si>
    <t>Global Stays: 25 keys</t>
  </si>
  <si>
    <t>Xotel HSR Layout: 25 keys</t>
  </si>
  <si>
    <t>SS Heritage: 25 keys</t>
  </si>
  <si>
    <t>Diamond Park (Vizag): 20 keys</t>
  </si>
  <si>
    <t xml:space="preserve"> 2. Sadahalli, Bangalore: The property has been formally converted from the Olive brand to Spark.</t>
  </si>
  <si>
    <t>1. New Signings – Open Brand:</t>
  </si>
  <si>
    <t>Handover date</t>
  </si>
  <si>
    <t>Go-live date</t>
  </si>
  <si>
    <t>15th May '27</t>
  </si>
  <si>
    <t>Operational Properties – Open Brand:
Chamiers Park: 25 keys
The Botanica: 30 keys</t>
  </si>
  <si>
    <t>April '26 WIP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</si>
</sst>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 * #,##0_ ;_ * \-#,##0_ ;_ * &quot;-&quot;??_ ;_ @_ "/>
    <numFmt numFmtId="165" formatCode="_(* #,##0_);_(* \(#,##0\);_(* &quot;-&quot;??_);_(@_)"/>
  </numFmts>
  <fonts count="2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22"/>
      <color theme="1"/>
      <name val="Aptos Narrow"/>
      <family val="2"/>
      <scheme val="minor"/>
    </font>
    <font>
      <sz val="12"/>
      <color rgb="FF000000"/>
      <name val="Aptos"/>
      <family val="2"/>
    </font>
    <font>
      <b/>
      <sz val="12"/>
      <color rgb="FF000000"/>
      <name val="Inherit"/>
    </font>
    <font>
      <sz val="8"/>
      <name val="Aptos Narrow"/>
      <family val="2"/>
      <scheme val="minor"/>
    </font>
    <font>
      <b/>
      <sz val="16"/>
      <color indexed="9"/>
      <name val="Aptos Narrow"/>
      <family val="2"/>
      <scheme val="minor"/>
    </font>
    <font>
      <b/>
      <i/>
      <sz val="16"/>
      <color indexed="9"/>
      <name val="Aptos Narrow"/>
      <family val="2"/>
      <scheme val="minor"/>
    </font>
    <font>
      <b/>
      <sz val="12"/>
      <color indexed="9"/>
      <name val="Aptos Narrow"/>
      <family val="2"/>
      <scheme val="minor"/>
    </font>
    <font>
      <b/>
      <i/>
      <sz val="14"/>
      <color indexed="9"/>
      <name val="Aptos Narrow"/>
      <family val="2"/>
      <scheme val="minor"/>
    </font>
    <font>
      <b/>
      <sz val="11"/>
      <color indexed="8"/>
      <name val="Aptos Narrow"/>
      <family val="2"/>
      <scheme val="minor"/>
    </font>
    <font>
      <sz val="11"/>
      <color indexed="18"/>
      <name val="Aptos Narrow"/>
      <family val="2"/>
      <scheme val="minor"/>
    </font>
    <font>
      <b/>
      <i/>
      <sz val="10"/>
      <color indexed="9"/>
      <name val="Aptos Narrow"/>
      <family val="2"/>
      <scheme val="minor"/>
    </font>
    <font>
      <sz val="11"/>
      <color indexed="8"/>
      <name val="Aptos Narrow"/>
      <family val="2"/>
      <scheme val="minor"/>
    </font>
    <font>
      <sz val="11"/>
      <color rgb="FF000000"/>
      <name val="gopher"/>
    </font>
    <font>
      <sz val="11"/>
      <color theme="1"/>
      <name val="Aptos Narrow"/>
      <family val="2"/>
    </font>
    <font>
      <b/>
      <sz val="11"/>
      <color theme="1"/>
      <name val="Aptos Narrow"/>
      <family val="2"/>
    </font>
    <font>
      <sz val="8"/>
      <color rgb="FF0F1115"/>
      <name val="Segoe UI"/>
      <family val="2"/>
    </font>
    <font>
      <sz val="12"/>
      <color rgb="FF242424"/>
      <name val="Aptos"/>
      <family val="2"/>
    </font>
    <font>
      <sz val="11"/>
      <color rgb="FF000000"/>
      <name val="Aptos Narrow"/>
      <family val="2"/>
    </font>
    <font>
      <sz val="11"/>
      <color rgb="FF000000"/>
      <name val="Aptos Narrow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indexed="18"/>
        <bgColor indexed="24"/>
      </patternFill>
    </fill>
    <fill>
      <patternFill patternType="solid">
        <fgColor indexed="9"/>
        <bgColor indexed="24"/>
      </patternFill>
    </fill>
    <fill>
      <patternFill patternType="solid">
        <fgColor indexed="22"/>
        <bgColor indexed="2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2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theme="4" tint="0.79998168889431442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/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29">
    <xf numFmtId="0" fontId="0" fillId="0" borderId="0" xfId="0"/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0" fontId="2" fillId="3" borderId="2" xfId="0" applyFont="1" applyFill="1" applyBorder="1"/>
    <xf numFmtId="0" fontId="2" fillId="3" borderId="1" xfId="0" applyFont="1" applyFill="1" applyBorder="1"/>
    <xf numFmtId="0" fontId="3" fillId="0" borderId="0" xfId="0" applyFont="1"/>
    <xf numFmtId="17" fontId="2" fillId="4" borderId="3" xfId="0" applyNumberFormat="1" applyFont="1" applyFill="1" applyBorder="1" applyAlignment="1">
      <alignment horizontal="center"/>
    </xf>
    <xf numFmtId="0" fontId="0" fillId="5" borderId="0" xfId="0" applyFill="1"/>
    <xf numFmtId="0" fontId="2" fillId="5" borderId="1" xfId="0" applyFont="1" applyFill="1" applyBorder="1" applyAlignment="1">
      <alignment horizontal="center"/>
    </xf>
    <xf numFmtId="0" fontId="0" fillId="6" borderId="5" xfId="0" applyFill="1" applyBorder="1" applyAlignment="1">
      <alignment vertical="center"/>
    </xf>
    <xf numFmtId="0" fontId="5" fillId="6" borderId="6" xfId="0" applyFont="1" applyFill="1" applyBorder="1" applyAlignment="1">
      <alignment vertical="center"/>
    </xf>
    <xf numFmtId="0" fontId="5" fillId="6" borderId="4" xfId="0" applyFont="1" applyFill="1" applyBorder="1" applyAlignment="1">
      <alignment vertical="center"/>
    </xf>
    <xf numFmtId="0" fontId="4" fillId="6" borderId="4" xfId="0" applyFont="1" applyFill="1" applyBorder="1" applyAlignment="1">
      <alignment horizontal="right" vertical="center"/>
    </xf>
    <xf numFmtId="0" fontId="2" fillId="3" borderId="0" xfId="0" applyFont="1" applyFill="1"/>
    <xf numFmtId="17" fontId="0" fillId="0" borderId="0" xfId="0" applyNumberFormat="1"/>
    <xf numFmtId="164" fontId="0" fillId="0" borderId="0" xfId="1" applyNumberFormat="1" applyFont="1"/>
    <xf numFmtId="164" fontId="2" fillId="0" borderId="0" xfId="1" applyNumberFormat="1" applyFont="1" applyFill="1"/>
    <xf numFmtId="9" fontId="0" fillId="0" borderId="0" xfId="2" applyFont="1"/>
    <xf numFmtId="164" fontId="0" fillId="0" borderId="0" xfId="0" applyNumberFormat="1"/>
    <xf numFmtId="164" fontId="0" fillId="0" borderId="0" xfId="1" quotePrefix="1" applyNumberFormat="1" applyFont="1"/>
    <xf numFmtId="17" fontId="0" fillId="0" borderId="0" xfId="0" quotePrefix="1" applyNumberFormat="1"/>
    <xf numFmtId="0" fontId="7" fillId="7" borderId="7" xfId="0" applyFont="1" applyFill="1" applyBorder="1" applyAlignment="1">
      <alignment horizontal="centerContinuous"/>
    </xf>
    <xf numFmtId="164" fontId="8" fillId="7" borderId="8" xfId="1" applyNumberFormat="1" applyFont="1" applyFill="1" applyBorder="1" applyAlignment="1">
      <alignment horizontal="centerContinuous"/>
    </xf>
    <xf numFmtId="0" fontId="8" fillId="7" borderId="9" xfId="0" applyFont="1" applyFill="1" applyBorder="1" applyAlignment="1">
      <alignment horizontal="centerContinuous"/>
    </xf>
    <xf numFmtId="0" fontId="9" fillId="7" borderId="10" xfId="0" applyFont="1" applyFill="1" applyBorder="1" applyAlignment="1">
      <alignment horizontal="left"/>
    </xf>
    <xf numFmtId="0" fontId="11" fillId="8" borderId="8" xfId="0" applyFont="1" applyFill="1" applyBorder="1" applyAlignment="1">
      <alignment horizontal="left"/>
    </xf>
    <xf numFmtId="164" fontId="12" fillId="8" borderId="9" xfId="1" applyNumberFormat="1" applyFont="1" applyFill="1" applyBorder="1" applyAlignment="1"/>
    <xf numFmtId="0" fontId="12" fillId="8" borderId="9" xfId="0" applyFont="1" applyFill="1" applyBorder="1"/>
    <xf numFmtId="0" fontId="9" fillId="7" borderId="8" xfId="0" applyFont="1" applyFill="1" applyBorder="1" applyAlignment="1">
      <alignment horizontal="left"/>
    </xf>
    <xf numFmtId="164" fontId="13" fillId="7" borderId="9" xfId="1" applyNumberFormat="1" applyFont="1" applyFill="1" applyBorder="1" applyAlignment="1">
      <alignment horizontal="right"/>
    </xf>
    <xf numFmtId="0" fontId="11" fillId="9" borderId="11" xfId="0" applyFont="1" applyFill="1" applyBorder="1" applyAlignment="1">
      <alignment horizontal="left"/>
    </xf>
    <xf numFmtId="164" fontId="12" fillId="9" borderId="0" xfId="1" applyNumberFormat="1" applyFont="1" applyFill="1" applyBorder="1" applyAlignment="1"/>
    <xf numFmtId="3" fontId="12" fillId="9" borderId="0" xfId="0" applyNumberFormat="1" applyFont="1" applyFill="1" applyAlignment="1">
      <alignment vertical="center"/>
    </xf>
    <xf numFmtId="0" fontId="12" fillId="9" borderId="0" xfId="0" applyFont="1" applyFill="1"/>
    <xf numFmtId="0" fontId="11" fillId="9" borderId="0" xfId="0" applyFont="1" applyFill="1" applyAlignment="1">
      <alignment horizontal="left"/>
    </xf>
    <xf numFmtId="0" fontId="11" fillId="0" borderId="11" xfId="0" applyFont="1" applyBorder="1" applyAlignment="1">
      <alignment horizontal="left"/>
    </xf>
    <xf numFmtId="164" fontId="12" fillId="0" borderId="0" xfId="1" applyNumberFormat="1" applyFont="1" applyFill="1" applyBorder="1" applyAlignment="1"/>
    <xf numFmtId="0" fontId="11" fillId="8" borderId="8" xfId="0" quotePrefix="1" applyFont="1" applyFill="1" applyBorder="1" applyAlignment="1">
      <alignment horizontal="left"/>
    </xf>
    <xf numFmtId="0" fontId="14" fillId="9" borderId="11" xfId="0" quotePrefix="1" applyFont="1" applyFill="1" applyBorder="1" applyAlignment="1">
      <alignment horizontal="left"/>
    </xf>
    <xf numFmtId="0" fontId="14" fillId="9" borderId="11" xfId="0" applyFont="1" applyFill="1" applyBorder="1" applyAlignment="1">
      <alignment horizontal="left"/>
    </xf>
    <xf numFmtId="3" fontId="15" fillId="0" borderId="4" xfId="0" applyNumberFormat="1" applyFont="1" applyBorder="1" applyAlignment="1">
      <alignment horizontal="right"/>
    </xf>
    <xf numFmtId="3" fontId="15" fillId="0" borderId="4" xfId="0" applyNumberFormat="1" applyFont="1" applyBorder="1" applyAlignment="1">
      <alignment horizontal="center"/>
    </xf>
    <xf numFmtId="164" fontId="8" fillId="7" borderId="9" xfId="1" applyNumberFormat="1" applyFont="1" applyFill="1" applyBorder="1" applyAlignment="1">
      <alignment horizontal="centerContinuous"/>
    </xf>
    <xf numFmtId="164" fontId="0" fillId="0" borderId="0" xfId="1" applyNumberFormat="1" applyFont="1" applyFill="1" applyBorder="1" applyAlignment="1">
      <alignment vertical="center"/>
    </xf>
    <xf numFmtId="0" fontId="11" fillId="0" borderId="0" xfId="0" applyFont="1" applyAlignment="1">
      <alignment horizontal="left"/>
    </xf>
    <xf numFmtId="17" fontId="2" fillId="12" borderId="3" xfId="0" applyNumberFormat="1" applyFont="1" applyFill="1" applyBorder="1" applyAlignment="1">
      <alignment horizontal="center"/>
    </xf>
    <xf numFmtId="0" fontId="2" fillId="12" borderId="0" xfId="0" applyFont="1" applyFill="1"/>
    <xf numFmtId="0" fontId="2" fillId="12" borderId="1" xfId="0" applyFont="1" applyFill="1" applyBorder="1"/>
    <xf numFmtId="0" fontId="0" fillId="12" borderId="0" xfId="0" applyFill="1"/>
    <xf numFmtId="0" fontId="0" fillId="0" borderId="12" xfId="0" applyBorder="1"/>
    <xf numFmtId="0" fontId="5" fillId="6" borderId="5" xfId="0" applyFont="1" applyFill="1" applyBorder="1" applyAlignment="1">
      <alignment vertical="center"/>
    </xf>
    <xf numFmtId="164" fontId="10" fillId="7" borderId="9" xfId="1" applyNumberFormat="1" applyFont="1" applyFill="1" applyBorder="1" applyAlignment="1">
      <alignment horizontal="center"/>
    </xf>
    <xf numFmtId="0" fontId="13" fillId="7" borderId="9" xfId="0" applyFont="1" applyFill="1" applyBorder="1" applyAlignment="1">
      <alignment horizontal="center"/>
    </xf>
    <xf numFmtId="3" fontId="12" fillId="9" borderId="0" xfId="0" applyNumberFormat="1" applyFont="1" applyFill="1"/>
    <xf numFmtId="0" fontId="14" fillId="9" borderId="0" xfId="0" quotePrefix="1" applyFont="1" applyFill="1" applyAlignment="1">
      <alignment horizontal="left"/>
    </xf>
    <xf numFmtId="0" fontId="0" fillId="6" borderId="13" xfId="0" applyFill="1" applyBorder="1" applyAlignment="1">
      <alignment vertical="center"/>
    </xf>
    <xf numFmtId="0" fontId="5" fillId="6" borderId="14" xfId="0" applyFont="1" applyFill="1" applyBorder="1" applyAlignment="1">
      <alignment vertical="center"/>
    </xf>
    <xf numFmtId="0" fontId="5" fillId="6" borderId="15" xfId="0" applyFont="1" applyFill="1" applyBorder="1" applyAlignment="1">
      <alignment vertical="center"/>
    </xf>
    <xf numFmtId="0" fontId="5" fillId="6" borderId="16" xfId="0" applyFont="1" applyFill="1" applyBorder="1" applyAlignment="1">
      <alignment vertical="center"/>
    </xf>
    <xf numFmtId="0" fontId="5" fillId="6" borderId="17" xfId="0" applyFont="1" applyFill="1" applyBorder="1" applyAlignment="1">
      <alignment vertical="center"/>
    </xf>
    <xf numFmtId="0" fontId="5" fillId="6" borderId="18" xfId="0" applyFont="1" applyFill="1" applyBorder="1" applyAlignment="1">
      <alignment vertical="center"/>
    </xf>
    <xf numFmtId="0" fontId="0" fillId="0" borderId="19" xfId="0" applyBorder="1"/>
    <xf numFmtId="0" fontId="0" fillId="0" borderId="11" xfId="0" quotePrefix="1" applyBorder="1"/>
    <xf numFmtId="0" fontId="4" fillId="6" borderId="20" xfId="0" applyFont="1" applyFill="1" applyBorder="1" applyAlignment="1">
      <alignment horizontal="right" vertical="center"/>
    </xf>
    <xf numFmtId="0" fontId="0" fillId="0" borderId="11" xfId="0" applyBorder="1"/>
    <xf numFmtId="0" fontId="0" fillId="0" borderId="21" xfId="0" quotePrefix="1" applyBorder="1"/>
    <xf numFmtId="0" fontId="0" fillId="0" borderId="22" xfId="0" applyBorder="1"/>
    <xf numFmtId="0" fontId="0" fillId="0" borderId="23" xfId="0" applyBorder="1"/>
    <xf numFmtId="0" fontId="0" fillId="0" borderId="12" xfId="0" applyBorder="1" applyAlignment="1">
      <alignment horizontal="center"/>
    </xf>
    <xf numFmtId="164" fontId="17" fillId="11" borderId="0" xfId="0" applyNumberFormat="1" applyFont="1" applyFill="1" applyAlignment="1">
      <alignment horizontal="left"/>
    </xf>
    <xf numFmtId="0" fontId="5" fillId="6" borderId="24" xfId="0" applyFont="1" applyFill="1" applyBorder="1" applyAlignment="1">
      <alignment vertical="center"/>
    </xf>
    <xf numFmtId="0" fontId="5" fillId="6" borderId="25" xfId="0" applyFont="1" applyFill="1" applyBorder="1" applyAlignment="1">
      <alignment vertical="center"/>
    </xf>
    <xf numFmtId="0" fontId="4" fillId="6" borderId="26" xfId="0" applyFont="1" applyFill="1" applyBorder="1" applyAlignment="1">
      <alignment horizontal="right" vertical="center"/>
    </xf>
    <xf numFmtId="0" fontId="5" fillId="6" borderId="31" xfId="0" applyFont="1" applyFill="1" applyBorder="1" applyAlignment="1">
      <alignment vertical="center"/>
    </xf>
    <xf numFmtId="0" fontId="4" fillId="6" borderId="18" xfId="0" applyFont="1" applyFill="1" applyBorder="1" applyAlignment="1">
      <alignment horizontal="right" vertical="center"/>
    </xf>
    <xf numFmtId="164" fontId="12" fillId="14" borderId="0" xfId="1" applyNumberFormat="1" applyFont="1" applyFill="1" applyBorder="1" applyAlignment="1"/>
    <xf numFmtId="165" fontId="12" fillId="14" borderId="9" xfId="1" applyNumberFormat="1" applyFont="1" applyFill="1" applyBorder="1" applyAlignment="1"/>
    <xf numFmtId="164" fontId="12" fillId="14" borderId="9" xfId="1" applyNumberFormat="1" applyFont="1" applyFill="1" applyBorder="1" applyAlignment="1"/>
    <xf numFmtId="165" fontId="0" fillId="0" borderId="0" xfId="0" applyNumberFormat="1"/>
    <xf numFmtId="0" fontId="18" fillId="0" borderId="0" xfId="0" applyFont="1" applyAlignment="1">
      <alignment vertical="center" wrapText="1"/>
    </xf>
    <xf numFmtId="0" fontId="18" fillId="0" borderId="0" xfId="0" applyFont="1"/>
    <xf numFmtId="0" fontId="19" fillId="0" borderId="0" xfId="0" applyFont="1" applyAlignment="1">
      <alignment vertical="center" wrapText="1"/>
    </xf>
    <xf numFmtId="0" fontId="9" fillId="7" borderId="32" xfId="0" applyFont="1" applyFill="1" applyBorder="1" applyAlignment="1">
      <alignment horizontal="left"/>
    </xf>
    <xf numFmtId="164" fontId="13" fillId="7" borderId="33" xfId="1" applyNumberFormat="1" applyFont="1" applyFill="1" applyBorder="1" applyAlignment="1">
      <alignment horizontal="right"/>
    </xf>
    <xf numFmtId="0" fontId="13" fillId="7" borderId="33" xfId="0" applyFont="1" applyFill="1" applyBorder="1" applyAlignment="1">
      <alignment horizontal="right"/>
    </xf>
    <xf numFmtId="0" fontId="13" fillId="7" borderId="34" xfId="0" applyFont="1" applyFill="1" applyBorder="1" applyAlignment="1">
      <alignment horizontal="center" wrapText="1"/>
    </xf>
    <xf numFmtId="0" fontId="11" fillId="0" borderId="4" xfId="0" applyFont="1" applyBorder="1" applyAlignment="1">
      <alignment horizontal="left"/>
    </xf>
    <xf numFmtId="164" fontId="12" fillId="0" borderId="4" xfId="1" applyNumberFormat="1" applyFont="1" applyFill="1" applyBorder="1" applyAlignment="1"/>
    <xf numFmtId="3" fontId="12" fillId="0" borderId="4" xfId="0" applyNumberFormat="1" applyFont="1" applyBorder="1" applyAlignment="1">
      <alignment vertical="center"/>
    </xf>
    <xf numFmtId="0" fontId="0" fillId="0" borderId="4" xfId="0" applyBorder="1"/>
    <xf numFmtId="3" fontId="21" fillId="0" borderId="4" xfId="0" applyNumberFormat="1" applyFont="1" applyBorder="1" applyAlignment="1">
      <alignment vertical="center"/>
    </xf>
    <xf numFmtId="164" fontId="16" fillId="10" borderId="4" xfId="1" applyNumberFormat="1" applyFont="1" applyFill="1" applyBorder="1" applyAlignment="1">
      <alignment vertical="center"/>
    </xf>
    <xf numFmtId="3" fontId="21" fillId="15" borderId="4" xfId="0" applyNumberFormat="1" applyFont="1" applyFill="1" applyBorder="1" applyAlignment="1">
      <alignment vertical="center"/>
    </xf>
    <xf numFmtId="164" fontId="16" fillId="0" borderId="4" xfId="1" applyNumberFormat="1" applyFont="1" applyFill="1" applyBorder="1" applyAlignment="1">
      <alignment vertical="center"/>
    </xf>
    <xf numFmtId="0" fontId="11" fillId="15" borderId="4" xfId="0" applyFont="1" applyFill="1" applyBorder="1" applyAlignment="1">
      <alignment horizontal="left"/>
    </xf>
    <xf numFmtId="164" fontId="0" fillId="0" borderId="4" xfId="0" applyNumberFormat="1" applyBorder="1"/>
    <xf numFmtId="164" fontId="0" fillId="13" borderId="0" xfId="1" applyNumberFormat="1" applyFont="1" applyFill="1"/>
    <xf numFmtId="164" fontId="0" fillId="16" borderId="0" xfId="1" applyNumberFormat="1" applyFont="1" applyFill="1"/>
    <xf numFmtId="3" fontId="2" fillId="16" borderId="0" xfId="0" applyNumberFormat="1" applyFont="1" applyFill="1" applyAlignment="1">
      <alignment horizontal="center"/>
    </xf>
    <xf numFmtId="164" fontId="0" fillId="0" borderId="0" xfId="1" applyNumberFormat="1" applyFont="1" applyAlignment="1">
      <alignment horizontal="center" wrapText="1"/>
    </xf>
    <xf numFmtId="164" fontId="0" fillId="0" borderId="0" xfId="1" applyNumberFormat="1" applyFont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9" xfId="0" applyBorder="1" applyAlignment="1">
      <alignment horizontal="center"/>
    </xf>
    <xf numFmtId="0" fontId="5" fillId="6" borderId="30" xfId="0" applyFont="1" applyFill="1" applyBorder="1" applyAlignment="1">
      <alignment vertical="center"/>
    </xf>
    <xf numFmtId="0" fontId="5" fillId="6" borderId="16" xfId="0" applyFont="1" applyFill="1" applyBorder="1" applyAlignment="1">
      <alignment vertical="center"/>
    </xf>
    <xf numFmtId="0" fontId="0" fillId="0" borderId="22" xfId="0" applyBorder="1" applyAlignment="1">
      <alignment horizontal="center"/>
    </xf>
    <xf numFmtId="0" fontId="5" fillId="6" borderId="14" xfId="0" applyFont="1" applyFill="1" applyBorder="1" applyAlignment="1">
      <alignment vertical="center"/>
    </xf>
    <xf numFmtId="0" fontId="5" fillId="6" borderId="6" xfId="0" applyFont="1" applyFill="1" applyBorder="1" applyAlignment="1">
      <alignment vertical="center"/>
    </xf>
    <xf numFmtId="164" fontId="10" fillId="7" borderId="8" xfId="1" applyNumberFormat="1" applyFont="1" applyFill="1" applyBorder="1" applyAlignment="1">
      <alignment horizontal="center"/>
    </xf>
    <xf numFmtId="164" fontId="10" fillId="7" borderId="9" xfId="1" applyNumberFormat="1" applyFont="1" applyFill="1" applyBorder="1" applyAlignment="1">
      <alignment horizontal="center"/>
    </xf>
    <xf numFmtId="0" fontId="13" fillId="7" borderId="0" xfId="0" applyFont="1" applyFill="1" applyAlignment="1">
      <alignment horizontal="center"/>
    </xf>
    <xf numFmtId="0" fontId="13" fillId="7" borderId="9" xfId="0" applyFont="1" applyFill="1" applyBorder="1" applyAlignment="1">
      <alignment horizontal="center"/>
    </xf>
    <xf numFmtId="0" fontId="2" fillId="2" borderId="0" xfId="0" applyFont="1" applyFill="1" applyBorder="1" applyAlignment="1">
      <alignment horizontal="center"/>
    </xf>
    <xf numFmtId="164" fontId="0" fillId="5" borderId="0" xfId="1" applyNumberFormat="1" applyFont="1" applyFill="1"/>
    <xf numFmtId="164" fontId="2" fillId="2" borderId="0" xfId="1" applyNumberFormat="1" applyFont="1" applyFill="1" applyBorder="1" applyAlignment="1">
      <alignment horizontal="center"/>
    </xf>
    <xf numFmtId="0" fontId="18" fillId="0" borderId="0" xfId="0" applyFont="1" applyAlignment="1">
      <alignment horizontal="left" vertical="center" wrapText="1" indent="1"/>
    </xf>
    <xf numFmtId="0" fontId="0" fillId="0" borderId="32" xfId="0" applyBorder="1"/>
    <xf numFmtId="0" fontId="0" fillId="0" borderId="33" xfId="0" applyBorder="1"/>
    <xf numFmtId="0" fontId="0" fillId="0" borderId="34" xfId="0" applyBorder="1"/>
    <xf numFmtId="0" fontId="2" fillId="0" borderId="11" xfId="0" applyFont="1" applyBorder="1"/>
    <xf numFmtId="0" fontId="0" fillId="0" borderId="0" xfId="0" applyBorder="1"/>
    <xf numFmtId="0" fontId="20" fillId="0" borderId="11" xfId="0" applyFont="1" applyBorder="1" applyAlignment="1">
      <alignment vertical="center" wrapText="1"/>
    </xf>
    <xf numFmtId="0" fontId="20" fillId="0" borderId="21" xfId="0" applyFont="1" applyBorder="1" applyAlignment="1">
      <alignment vertical="center" wrapText="1"/>
    </xf>
    <xf numFmtId="0" fontId="0" fillId="0" borderId="0" xfId="0" applyAlignment="1">
      <alignment wrapText="1"/>
    </xf>
    <xf numFmtId="164" fontId="0" fillId="0" borderId="12" xfId="1" applyNumberFormat="1" applyFont="1" applyFill="1" applyBorder="1" applyAlignment="1">
      <alignment vertical="center"/>
    </xf>
    <xf numFmtId="164" fontId="0" fillId="0" borderId="0" xfId="0" applyNumberFormat="1" applyFill="1"/>
    <xf numFmtId="164" fontId="17" fillId="0" borderId="0" xfId="0" applyNumberFormat="1" applyFont="1" applyFill="1" applyAlignment="1">
      <alignment horizontal="left"/>
    </xf>
    <xf numFmtId="164" fontId="17" fillId="17" borderId="0" xfId="0" applyNumberFormat="1" applyFont="1" applyFill="1" applyAlignment="1">
      <alignment horizontal="left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Nazim Sait Arif" id="{2D775E0F-25EB-4869-B64A-5FF516290769}" userId="S::nazim.sait@oliveliving.com::8bdf6898-07fe-4741-95e8-1b9e13214e24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P5" dT="2026-03-27T10:53:37.60" personId="{2D775E0F-25EB-4869-B64A-5FF516290769}" id="{4E6556D2-0A2F-4971-8F63-C779A68B9485}">
    <text xml:space="preserve">Control
</text>
  </threadedComment>
  <threadedComment ref="P10" dT="2026-03-27T10:53:37.60" personId="{2D775E0F-25EB-4869-B64A-5FF516290769}" id="{9CFB65C3-A491-4F49-9291-182949A32499}">
    <text xml:space="preserve">Control
</text>
  </threadedComment>
  <threadedComment ref="P15" dT="2026-03-27T10:53:37.60" personId="{2D775E0F-25EB-4869-B64A-5FF516290769}" id="{DF95D489-8FF7-426F-A630-91F27E5573F7}">
    <text xml:space="preserve">Control
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Q7" dT="2026-03-27T10:53:37.60" personId="{2D775E0F-25EB-4869-B64A-5FF516290769}" id="{CADE0C93-7C6B-4A65-9638-5BC952EBAF60}">
    <text xml:space="preserve">Control
</text>
  </threadedComment>
  <threadedComment ref="Q12" dT="2026-03-27T10:53:37.60" personId="{2D775E0F-25EB-4869-B64A-5FF516290769}" id="{93627DF0-F0EC-4D87-801B-760854F3EFE9}">
    <text xml:space="preserve">Control
</text>
  </threadedComment>
</ThreadedComments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CC25998-EA6A-4951-BF84-39F44D9850FC}">
  <we:reference id="WA200009404" version="1.0.0.8" store="Omex" storeType="OMEX"/>
  <we:alternateReferences>
    <we:reference id="WA200009404" version="1.0.0.8" store="WA200009404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97340-288C-45C3-82BF-B3BBD667250E}">
  <dimension ref="A1:P36"/>
  <sheetViews>
    <sheetView topLeftCell="A16" workbookViewId="0">
      <selection activeCell="N18" sqref="N18:O18"/>
    </sheetView>
  </sheetViews>
  <sheetFormatPr defaultRowHeight="14.5"/>
  <cols>
    <col min="1" max="1" width="18.90625" bestFit="1" customWidth="1"/>
    <col min="2" max="2" width="14.08984375" bestFit="1" customWidth="1"/>
  </cols>
  <sheetData>
    <row r="1" spans="1:16">
      <c r="B1" s="45" t="s">
        <v>66</v>
      </c>
      <c r="C1" s="6">
        <v>45748</v>
      </c>
      <c r="D1" s="6">
        <f>EOMONTH(C1,1)</f>
        <v>45808</v>
      </c>
      <c r="E1" s="6">
        <f t="shared" ref="E1:O1" si="0">EOMONTH(D1,1)</f>
        <v>45838</v>
      </c>
      <c r="F1" s="6">
        <f t="shared" si="0"/>
        <v>45869</v>
      </c>
      <c r="G1" s="6">
        <f t="shared" si="0"/>
        <v>45900</v>
      </c>
      <c r="H1" s="6">
        <f t="shared" si="0"/>
        <v>45930</v>
      </c>
      <c r="I1" s="6">
        <f t="shared" si="0"/>
        <v>45961</v>
      </c>
      <c r="J1" s="6">
        <f t="shared" si="0"/>
        <v>45991</v>
      </c>
      <c r="K1" s="6">
        <f t="shared" si="0"/>
        <v>46022</v>
      </c>
      <c r="L1" s="6">
        <f t="shared" si="0"/>
        <v>46053</v>
      </c>
      <c r="M1" s="6">
        <f t="shared" si="0"/>
        <v>46081</v>
      </c>
      <c r="N1" s="6">
        <f t="shared" si="0"/>
        <v>46112</v>
      </c>
      <c r="O1" s="6">
        <f t="shared" si="0"/>
        <v>46142</v>
      </c>
      <c r="P1" s="6" t="s">
        <v>5</v>
      </c>
    </row>
    <row r="2" spans="1:16">
      <c r="A2" s="3" t="s">
        <v>2</v>
      </c>
      <c r="B2" s="46"/>
    </row>
    <row r="3" spans="1:16">
      <c r="A3" s="1" t="s">
        <v>0</v>
      </c>
      <c r="B3" s="47">
        <v>2389</v>
      </c>
      <c r="C3">
        <v>43</v>
      </c>
      <c r="D3">
        <v>92</v>
      </c>
      <c r="E3">
        <v>27</v>
      </c>
      <c r="F3">
        <v>110</v>
      </c>
      <c r="G3">
        <v>42</v>
      </c>
      <c r="H3">
        <v>30</v>
      </c>
      <c r="I3">
        <v>45</v>
      </c>
      <c r="J3">
        <v>90</v>
      </c>
      <c r="K3">
        <v>60</v>
      </c>
      <c r="L3">
        <v>61</v>
      </c>
      <c r="M3">
        <v>135</v>
      </c>
      <c r="N3">
        <v>111</v>
      </c>
      <c r="O3">
        <v>0</v>
      </c>
      <c r="P3" s="2">
        <f>SUM(B3:O3)</f>
        <v>3235</v>
      </c>
    </row>
    <row r="4" spans="1:16">
      <c r="A4" s="1" t="s">
        <v>1</v>
      </c>
      <c r="B4" s="47">
        <v>54</v>
      </c>
      <c r="C4">
        <v>1</v>
      </c>
      <c r="D4">
        <v>2</v>
      </c>
      <c r="E4">
        <v>1</v>
      </c>
      <c r="F4">
        <v>3</v>
      </c>
      <c r="G4">
        <v>1</v>
      </c>
      <c r="H4">
        <v>1</v>
      </c>
      <c r="I4">
        <v>1</v>
      </c>
      <c r="J4">
        <v>2</v>
      </c>
      <c r="K4">
        <v>2</v>
      </c>
      <c r="L4">
        <v>1</v>
      </c>
      <c r="M4">
        <v>4</v>
      </c>
      <c r="N4">
        <v>3</v>
      </c>
      <c r="O4">
        <f>G25</f>
        <v>0</v>
      </c>
      <c r="P4" s="2">
        <f>SUM(B4:O4)</f>
        <v>76</v>
      </c>
    </row>
    <row r="5" spans="1:16">
      <c r="A5" s="7" t="s">
        <v>67</v>
      </c>
      <c r="B5" s="48">
        <f>B4</f>
        <v>54</v>
      </c>
      <c r="C5" s="7">
        <f>C4+B4</f>
        <v>55</v>
      </c>
      <c r="D5" s="7">
        <f>C5+D4</f>
        <v>57</v>
      </c>
      <c r="E5" s="7">
        <f>D5+E4</f>
        <v>58</v>
      </c>
      <c r="F5" s="7">
        <f t="shared" ref="F5:O5" si="1">E5+F4</f>
        <v>61</v>
      </c>
      <c r="G5" s="7">
        <f t="shared" si="1"/>
        <v>62</v>
      </c>
      <c r="H5" s="7">
        <f t="shared" si="1"/>
        <v>63</v>
      </c>
      <c r="I5" s="7">
        <f t="shared" si="1"/>
        <v>64</v>
      </c>
      <c r="J5" s="7">
        <f t="shared" si="1"/>
        <v>66</v>
      </c>
      <c r="K5" s="7">
        <f t="shared" si="1"/>
        <v>68</v>
      </c>
      <c r="L5" s="7">
        <f t="shared" si="1"/>
        <v>69</v>
      </c>
      <c r="M5" s="7">
        <f t="shared" si="1"/>
        <v>73</v>
      </c>
      <c r="N5" s="7">
        <f t="shared" si="1"/>
        <v>76</v>
      </c>
      <c r="O5" s="7">
        <f t="shared" si="1"/>
        <v>76</v>
      </c>
      <c r="P5" s="8">
        <f>P4-O5</f>
        <v>0</v>
      </c>
    </row>
    <row r="6" spans="1:16">
      <c r="A6" s="7" t="s">
        <v>68</v>
      </c>
      <c r="B6" s="48">
        <f>B3</f>
        <v>2389</v>
      </c>
      <c r="C6">
        <f>B6+C3</f>
        <v>2432</v>
      </c>
      <c r="D6">
        <f t="shared" ref="D6:O6" si="2">C6+D3</f>
        <v>2524</v>
      </c>
      <c r="E6">
        <f t="shared" si="2"/>
        <v>2551</v>
      </c>
      <c r="F6">
        <f t="shared" si="2"/>
        <v>2661</v>
      </c>
      <c r="G6">
        <f t="shared" si="2"/>
        <v>2703</v>
      </c>
      <c r="H6">
        <f t="shared" si="2"/>
        <v>2733</v>
      </c>
      <c r="I6">
        <f t="shared" si="2"/>
        <v>2778</v>
      </c>
      <c r="J6">
        <f t="shared" si="2"/>
        <v>2868</v>
      </c>
      <c r="K6">
        <f t="shared" si="2"/>
        <v>2928</v>
      </c>
      <c r="L6">
        <f t="shared" si="2"/>
        <v>2989</v>
      </c>
      <c r="M6">
        <f t="shared" si="2"/>
        <v>3124</v>
      </c>
      <c r="N6">
        <f t="shared" si="2"/>
        <v>3235</v>
      </c>
      <c r="O6">
        <f t="shared" si="2"/>
        <v>3235</v>
      </c>
      <c r="P6" s="8">
        <f>P3-O6</f>
        <v>0</v>
      </c>
    </row>
    <row r="7" spans="1:16">
      <c r="A7" s="4" t="s">
        <v>3</v>
      </c>
      <c r="B7" s="46"/>
      <c r="P7" s="2"/>
    </row>
    <row r="8" spans="1:16">
      <c r="A8" s="1" t="s">
        <v>0</v>
      </c>
      <c r="B8" s="47">
        <v>528</v>
      </c>
      <c r="C8" s="2"/>
      <c r="D8">
        <v>228</v>
      </c>
      <c r="E8">
        <v>90</v>
      </c>
      <c r="F8">
        <v>175</v>
      </c>
      <c r="G8">
        <v>55</v>
      </c>
      <c r="H8">
        <v>90</v>
      </c>
      <c r="I8">
        <v>119</v>
      </c>
      <c r="J8">
        <v>40</v>
      </c>
      <c r="K8">
        <v>338</v>
      </c>
      <c r="L8">
        <v>316</v>
      </c>
      <c r="M8">
        <v>51</v>
      </c>
      <c r="N8">
        <v>227</v>
      </c>
      <c r="O8">
        <v>0</v>
      </c>
      <c r="P8">
        <f>SUM(B8:O8)</f>
        <v>2257</v>
      </c>
    </row>
    <row r="9" spans="1:16">
      <c r="A9" s="1" t="s">
        <v>1</v>
      </c>
      <c r="B9" s="47">
        <v>6</v>
      </c>
      <c r="C9" s="2">
        <v>0</v>
      </c>
      <c r="D9">
        <v>3</v>
      </c>
      <c r="E9">
        <v>1</v>
      </c>
      <c r="F9">
        <v>2</v>
      </c>
      <c r="G9">
        <v>1</v>
      </c>
      <c r="H9">
        <v>1</v>
      </c>
      <c r="I9">
        <v>2</v>
      </c>
      <c r="J9">
        <v>1</v>
      </c>
      <c r="K9">
        <v>3</v>
      </c>
      <c r="L9">
        <v>3</v>
      </c>
      <c r="M9">
        <v>1</v>
      </c>
      <c r="N9">
        <v>4</v>
      </c>
      <c r="O9">
        <f>G26</f>
        <v>0</v>
      </c>
      <c r="P9">
        <f>SUM(B9:O9)</f>
        <v>28</v>
      </c>
    </row>
    <row r="10" spans="1:16">
      <c r="A10" s="7" t="s">
        <v>6</v>
      </c>
      <c r="B10" s="48">
        <f>B9</f>
        <v>6</v>
      </c>
      <c r="C10" s="7">
        <f>C9+B9</f>
        <v>6</v>
      </c>
      <c r="D10" s="7">
        <f>C10+D9</f>
        <v>9</v>
      </c>
      <c r="E10" s="7">
        <f>D10+E9</f>
        <v>10</v>
      </c>
      <c r="F10" s="7">
        <f t="shared" ref="F10:O10" si="3">E10+F9</f>
        <v>12</v>
      </c>
      <c r="G10" s="7">
        <f t="shared" si="3"/>
        <v>13</v>
      </c>
      <c r="H10" s="7">
        <f t="shared" si="3"/>
        <v>14</v>
      </c>
      <c r="I10" s="7">
        <f t="shared" si="3"/>
        <v>16</v>
      </c>
      <c r="J10" s="7">
        <f t="shared" si="3"/>
        <v>17</v>
      </c>
      <c r="K10" s="7">
        <f t="shared" si="3"/>
        <v>20</v>
      </c>
      <c r="L10" s="7">
        <f t="shared" si="3"/>
        <v>23</v>
      </c>
      <c r="M10" s="7">
        <f t="shared" si="3"/>
        <v>24</v>
      </c>
      <c r="N10" s="7">
        <f t="shared" si="3"/>
        <v>28</v>
      </c>
      <c r="O10" s="7">
        <f t="shared" si="3"/>
        <v>28</v>
      </c>
      <c r="P10" s="8">
        <f>P9-O10</f>
        <v>0</v>
      </c>
    </row>
    <row r="11" spans="1:16">
      <c r="A11" s="7" t="s">
        <v>68</v>
      </c>
      <c r="B11" s="48">
        <f>B8</f>
        <v>528</v>
      </c>
      <c r="C11">
        <f>B11+C8</f>
        <v>528</v>
      </c>
      <c r="D11">
        <f t="shared" ref="D11:O11" si="4">C11+D8</f>
        <v>756</v>
      </c>
      <c r="E11">
        <f t="shared" si="4"/>
        <v>846</v>
      </c>
      <c r="F11">
        <f t="shared" si="4"/>
        <v>1021</v>
      </c>
      <c r="G11">
        <f t="shared" si="4"/>
        <v>1076</v>
      </c>
      <c r="H11">
        <f t="shared" si="4"/>
        <v>1166</v>
      </c>
      <c r="I11">
        <f t="shared" si="4"/>
        <v>1285</v>
      </c>
      <c r="J11">
        <f t="shared" si="4"/>
        <v>1325</v>
      </c>
      <c r="K11">
        <f t="shared" si="4"/>
        <v>1663</v>
      </c>
      <c r="L11">
        <f t="shared" si="4"/>
        <v>1979</v>
      </c>
      <c r="M11">
        <f t="shared" si="4"/>
        <v>2030</v>
      </c>
      <c r="N11">
        <f t="shared" si="4"/>
        <v>2257</v>
      </c>
      <c r="O11">
        <f t="shared" si="4"/>
        <v>2257</v>
      </c>
      <c r="P11" s="8">
        <f>P8-O11</f>
        <v>0</v>
      </c>
    </row>
    <row r="12" spans="1:16">
      <c r="A12" s="4" t="s">
        <v>4</v>
      </c>
      <c r="B12" s="46"/>
      <c r="P12" s="2"/>
    </row>
    <row r="13" spans="1:16">
      <c r="A13" s="1" t="s">
        <v>0</v>
      </c>
      <c r="B13" s="47">
        <v>116</v>
      </c>
      <c r="C13">
        <v>104</v>
      </c>
      <c r="D13">
        <v>90</v>
      </c>
      <c r="E13">
        <v>40</v>
      </c>
      <c r="F13">
        <v>28</v>
      </c>
      <c r="G13">
        <v>0</v>
      </c>
      <c r="H13">
        <v>68</v>
      </c>
      <c r="I13">
        <v>43</v>
      </c>
      <c r="J13">
        <v>61</v>
      </c>
      <c r="K13">
        <v>14</v>
      </c>
      <c r="L13">
        <v>135</v>
      </c>
      <c r="M13">
        <v>152</v>
      </c>
      <c r="N13">
        <v>196</v>
      </c>
      <c r="O13">
        <f>25+25+25+20</f>
        <v>95</v>
      </c>
      <c r="P13" s="2">
        <f>SUM(B13:O13)</f>
        <v>1142</v>
      </c>
    </row>
    <row r="14" spans="1:16">
      <c r="A14" s="1" t="s">
        <v>1</v>
      </c>
      <c r="B14" s="47">
        <v>4</v>
      </c>
      <c r="C14">
        <v>3</v>
      </c>
      <c r="D14">
        <v>2</v>
      </c>
      <c r="E14">
        <v>1</v>
      </c>
      <c r="F14">
        <v>1</v>
      </c>
      <c r="G14">
        <v>0</v>
      </c>
      <c r="H14">
        <v>2</v>
      </c>
      <c r="I14">
        <v>2</v>
      </c>
      <c r="J14">
        <v>3</v>
      </c>
      <c r="K14">
        <v>1</v>
      </c>
      <c r="L14">
        <v>4</v>
      </c>
      <c r="M14">
        <v>8</v>
      </c>
      <c r="N14">
        <v>9</v>
      </c>
      <c r="O14">
        <f>G24</f>
        <v>4</v>
      </c>
      <c r="P14" s="2">
        <f>SUM(B14:O14)</f>
        <v>44</v>
      </c>
    </row>
    <row r="15" spans="1:16">
      <c r="A15" s="7" t="s">
        <v>6</v>
      </c>
      <c r="B15" s="48">
        <f>B14</f>
        <v>4</v>
      </c>
      <c r="C15" s="7">
        <f>C14+B14</f>
        <v>7</v>
      </c>
      <c r="D15" s="7">
        <f>C15+D14</f>
        <v>9</v>
      </c>
      <c r="E15" s="7">
        <f>D15+E14</f>
        <v>10</v>
      </c>
      <c r="F15" s="7">
        <f t="shared" ref="F15:O15" si="5">E15+F14</f>
        <v>11</v>
      </c>
      <c r="G15" s="7">
        <f t="shared" si="5"/>
        <v>11</v>
      </c>
      <c r="H15" s="7">
        <f t="shared" si="5"/>
        <v>13</v>
      </c>
      <c r="I15" s="7">
        <f t="shared" si="5"/>
        <v>15</v>
      </c>
      <c r="J15" s="7">
        <f t="shared" si="5"/>
        <v>18</v>
      </c>
      <c r="K15" s="7">
        <f t="shared" si="5"/>
        <v>19</v>
      </c>
      <c r="L15" s="7">
        <f t="shared" si="5"/>
        <v>23</v>
      </c>
      <c r="M15" s="7">
        <f t="shared" si="5"/>
        <v>31</v>
      </c>
      <c r="N15" s="7">
        <f t="shared" si="5"/>
        <v>40</v>
      </c>
      <c r="O15" s="7">
        <f t="shared" si="5"/>
        <v>44</v>
      </c>
      <c r="P15" s="8">
        <f>P14-O15</f>
        <v>0</v>
      </c>
    </row>
    <row r="16" spans="1:16">
      <c r="A16" s="7" t="s">
        <v>68</v>
      </c>
      <c r="B16" s="48">
        <f>B13</f>
        <v>116</v>
      </c>
      <c r="C16">
        <f>B16+C13</f>
        <v>220</v>
      </c>
      <c r="D16">
        <f t="shared" ref="D16:O16" si="6">C16+D13</f>
        <v>310</v>
      </c>
      <c r="E16">
        <f t="shared" si="6"/>
        <v>350</v>
      </c>
      <c r="F16">
        <f t="shared" si="6"/>
        <v>378</v>
      </c>
      <c r="G16">
        <f t="shared" si="6"/>
        <v>378</v>
      </c>
      <c r="H16">
        <f t="shared" si="6"/>
        <v>446</v>
      </c>
      <c r="I16">
        <f t="shared" si="6"/>
        <v>489</v>
      </c>
      <c r="J16">
        <f t="shared" si="6"/>
        <v>550</v>
      </c>
      <c r="K16">
        <f t="shared" si="6"/>
        <v>564</v>
      </c>
      <c r="L16">
        <f t="shared" si="6"/>
        <v>699</v>
      </c>
      <c r="M16">
        <f t="shared" si="6"/>
        <v>851</v>
      </c>
      <c r="N16">
        <f t="shared" si="6"/>
        <v>1047</v>
      </c>
      <c r="O16">
        <f t="shared" si="6"/>
        <v>1142</v>
      </c>
      <c r="P16" s="8">
        <f>P13-O16</f>
        <v>0</v>
      </c>
    </row>
    <row r="17" spans="1:16">
      <c r="A17" s="7" t="s">
        <v>88</v>
      </c>
      <c r="B17" s="48"/>
      <c r="P17">
        <f>P4+P9+P14</f>
        <v>148</v>
      </c>
    </row>
    <row r="18" spans="1:16">
      <c r="A18" s="7" t="s">
        <v>89</v>
      </c>
      <c r="P18">
        <f>P3+P8+P13</f>
        <v>6634</v>
      </c>
    </row>
    <row r="20" spans="1:16" ht="15" thickBot="1"/>
    <row r="21" spans="1:16">
      <c r="C21" s="101" t="s">
        <v>82</v>
      </c>
      <c r="D21" s="102"/>
      <c r="E21" s="102"/>
      <c r="F21" s="102"/>
      <c r="G21" s="103"/>
    </row>
    <row r="22" spans="1:16" ht="15.5">
      <c r="A22" s="9"/>
      <c r="B22" s="70" t="s">
        <v>65</v>
      </c>
      <c r="C22" s="104" t="s">
        <v>7</v>
      </c>
      <c r="D22" s="50" t="s">
        <v>8</v>
      </c>
      <c r="E22" s="50" t="s">
        <v>9</v>
      </c>
      <c r="F22" s="50" t="s">
        <v>10</v>
      </c>
      <c r="G22" s="73" t="s">
        <v>5</v>
      </c>
    </row>
    <row r="23" spans="1:16" ht="15.5">
      <c r="A23" s="10" t="s">
        <v>14</v>
      </c>
      <c r="B23" s="71"/>
      <c r="C23" s="105"/>
      <c r="D23" s="10"/>
      <c r="E23" s="10"/>
      <c r="F23" s="10"/>
      <c r="G23" s="59"/>
    </row>
    <row r="24" spans="1:16" ht="16">
      <c r="A24" s="11" t="s">
        <v>11</v>
      </c>
      <c r="B24" s="72">
        <v>9</v>
      </c>
      <c r="C24" s="74">
        <v>0</v>
      </c>
      <c r="D24" s="74">
        <v>3</v>
      </c>
      <c r="E24" s="74">
        <v>0</v>
      </c>
      <c r="F24" s="74">
        <v>1</v>
      </c>
      <c r="G24" s="63">
        <f>SUM(C24:F24)</f>
        <v>4</v>
      </c>
    </row>
    <row r="25" spans="1:16" ht="16">
      <c r="A25" s="11" t="s">
        <v>12</v>
      </c>
      <c r="B25" s="72">
        <v>3</v>
      </c>
      <c r="C25" s="74">
        <v>0</v>
      </c>
      <c r="D25" s="74">
        <v>0</v>
      </c>
      <c r="E25" s="74">
        <v>0</v>
      </c>
      <c r="F25" s="74">
        <v>0</v>
      </c>
      <c r="G25" s="63">
        <f>SUM(C25:F25)</f>
        <v>0</v>
      </c>
    </row>
    <row r="26" spans="1:16" ht="16">
      <c r="A26" s="11" t="s">
        <v>13</v>
      </c>
      <c r="B26" s="72">
        <v>4</v>
      </c>
      <c r="C26" s="74">
        <v>0</v>
      </c>
      <c r="D26" s="74">
        <v>0</v>
      </c>
      <c r="E26" s="74">
        <v>0</v>
      </c>
      <c r="F26" s="74">
        <v>0</v>
      </c>
      <c r="G26" s="63">
        <f>SUM(C26:F26)</f>
        <v>0</v>
      </c>
    </row>
    <row r="29" spans="1:16">
      <c r="A29" s="79" t="s">
        <v>96</v>
      </c>
    </row>
    <row r="30" spans="1:16" ht="23">
      <c r="A30" s="79" t="s">
        <v>120</v>
      </c>
    </row>
    <row r="31" spans="1:16">
      <c r="A31" s="116" t="s">
        <v>115</v>
      </c>
    </row>
    <row r="32" spans="1:16">
      <c r="A32" s="116" t="s">
        <v>116</v>
      </c>
    </row>
    <row r="33" spans="1:1">
      <c r="A33" s="116" t="s">
        <v>117</v>
      </c>
    </row>
    <row r="34" spans="1:1" ht="23">
      <c r="A34" s="116" t="s">
        <v>118</v>
      </c>
    </row>
    <row r="36" spans="1:1">
      <c r="A36" s="80" t="s">
        <v>119</v>
      </c>
    </row>
  </sheetData>
  <mergeCells count="2">
    <mergeCell ref="C21:G21"/>
    <mergeCell ref="C22:C23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C10BF-9630-427A-8A38-66932289DA85}">
  <dimension ref="B1:R57"/>
  <sheetViews>
    <sheetView topLeftCell="A23" workbookViewId="0">
      <selection activeCell="H33" sqref="H33"/>
    </sheetView>
  </sheetViews>
  <sheetFormatPr defaultRowHeight="14.5"/>
  <cols>
    <col min="2" max="2" width="13.90625" bestFit="1" customWidth="1"/>
    <col min="3" max="3" width="13.90625" customWidth="1"/>
    <col min="4" max="4" width="35.08984375" bestFit="1" customWidth="1"/>
    <col min="5" max="6" width="11.1796875" bestFit="1" customWidth="1"/>
    <col min="7" max="7" width="18.26953125" customWidth="1"/>
    <col min="8" max="8" width="18.36328125" customWidth="1"/>
    <col min="9" max="9" width="20.36328125" bestFit="1" customWidth="1"/>
    <col min="10" max="15" width="11.1796875" bestFit="1" customWidth="1"/>
    <col min="18" max="18" width="12.1796875" bestFit="1" customWidth="1"/>
  </cols>
  <sheetData>
    <row r="1" spans="2:18" ht="28.5">
      <c r="I1" s="5" t="s">
        <v>49</v>
      </c>
    </row>
    <row r="3" spans="2:18">
      <c r="C3" s="6" t="s">
        <v>50</v>
      </c>
      <c r="D3" s="6">
        <v>45748</v>
      </c>
      <c r="E3" s="6">
        <f>EOMONTH(D3,1)</f>
        <v>45808</v>
      </c>
      <c r="F3" s="6">
        <f t="shared" ref="F3:P3" si="0">EOMONTH(E3,1)</f>
        <v>45838</v>
      </c>
      <c r="G3" s="6">
        <f t="shared" si="0"/>
        <v>45869</v>
      </c>
      <c r="H3" s="6">
        <f t="shared" si="0"/>
        <v>45900</v>
      </c>
      <c r="I3" s="6">
        <f t="shared" si="0"/>
        <v>45930</v>
      </c>
      <c r="J3" s="6">
        <f t="shared" si="0"/>
        <v>45961</v>
      </c>
      <c r="K3" s="6">
        <f t="shared" si="0"/>
        <v>45991</v>
      </c>
      <c r="L3" s="6">
        <f t="shared" si="0"/>
        <v>46022</v>
      </c>
      <c r="M3" s="6">
        <f t="shared" si="0"/>
        <v>46053</v>
      </c>
      <c r="N3" s="6">
        <f t="shared" si="0"/>
        <v>46081</v>
      </c>
      <c r="O3" s="6">
        <f t="shared" si="0"/>
        <v>46112</v>
      </c>
      <c r="P3" s="6">
        <f t="shared" si="0"/>
        <v>46142</v>
      </c>
      <c r="Q3" s="6" t="s">
        <v>5</v>
      </c>
    </row>
    <row r="4" spans="2:18">
      <c r="B4" s="3" t="s">
        <v>2</v>
      </c>
      <c r="C4" s="13"/>
    </row>
    <row r="5" spans="2:18">
      <c r="B5" s="1" t="s">
        <v>0</v>
      </c>
      <c r="C5" s="2">
        <v>1232</v>
      </c>
      <c r="D5" s="2">
        <v>0</v>
      </c>
      <c r="E5" s="2">
        <v>0</v>
      </c>
      <c r="F5" s="2">
        <v>90</v>
      </c>
      <c r="G5" s="2">
        <v>0</v>
      </c>
      <c r="H5" s="2">
        <v>0</v>
      </c>
      <c r="I5" s="2">
        <v>86</v>
      </c>
      <c r="J5" s="2">
        <v>0</v>
      </c>
      <c r="K5" s="2">
        <v>73</v>
      </c>
      <c r="L5" s="2">
        <v>40</v>
      </c>
      <c r="M5" s="2">
        <v>123</v>
      </c>
      <c r="N5" s="2"/>
      <c r="O5" s="2">
        <v>56</v>
      </c>
      <c r="P5" s="2">
        <v>0</v>
      </c>
      <c r="Q5" s="2">
        <f>SUM(C5:P5)</f>
        <v>1700</v>
      </c>
    </row>
    <row r="6" spans="2:18">
      <c r="B6" s="1" t="s">
        <v>1</v>
      </c>
      <c r="C6" s="1">
        <v>32</v>
      </c>
      <c r="D6" s="2">
        <v>0</v>
      </c>
      <c r="E6" s="2">
        <v>0</v>
      </c>
      <c r="F6" s="2">
        <v>2</v>
      </c>
      <c r="G6" s="2">
        <v>0</v>
      </c>
      <c r="H6" s="2">
        <v>0</v>
      </c>
      <c r="I6" s="2">
        <v>1</v>
      </c>
      <c r="J6" s="2">
        <v>0</v>
      </c>
      <c r="K6" s="2">
        <v>1</v>
      </c>
      <c r="L6" s="2">
        <v>1</v>
      </c>
      <c r="M6" s="2">
        <v>3</v>
      </c>
      <c r="N6" s="2"/>
      <c r="O6" s="2">
        <v>1</v>
      </c>
      <c r="P6" s="2">
        <v>0</v>
      </c>
      <c r="Q6" s="2">
        <f>SUM(C6:O6)</f>
        <v>41</v>
      </c>
    </row>
    <row r="7" spans="2:18">
      <c r="B7" s="7" t="s">
        <v>68</v>
      </c>
      <c r="C7" s="7">
        <f>C5</f>
        <v>1232</v>
      </c>
      <c r="D7" s="7">
        <f>C7+D5</f>
        <v>1232</v>
      </c>
      <c r="E7" s="7">
        <f>D7+E5</f>
        <v>1232</v>
      </c>
      <c r="F7" s="7">
        <f t="shared" ref="F7:P7" si="1">E7+F5</f>
        <v>1322</v>
      </c>
      <c r="G7" s="7">
        <f t="shared" si="1"/>
        <v>1322</v>
      </c>
      <c r="H7" s="7">
        <f t="shared" si="1"/>
        <v>1322</v>
      </c>
      <c r="I7" s="7">
        <f t="shared" si="1"/>
        <v>1408</v>
      </c>
      <c r="J7" s="7">
        <f t="shared" si="1"/>
        <v>1408</v>
      </c>
      <c r="K7" s="7">
        <f t="shared" si="1"/>
        <v>1481</v>
      </c>
      <c r="L7" s="7">
        <f t="shared" si="1"/>
        <v>1521</v>
      </c>
      <c r="M7" s="7">
        <f t="shared" si="1"/>
        <v>1644</v>
      </c>
      <c r="N7" s="7">
        <f t="shared" si="1"/>
        <v>1644</v>
      </c>
      <c r="O7" s="7">
        <f t="shared" si="1"/>
        <v>1700</v>
      </c>
      <c r="P7" s="7">
        <f t="shared" si="1"/>
        <v>1700</v>
      </c>
      <c r="Q7" s="8">
        <f>Q5-O7</f>
        <v>0</v>
      </c>
    </row>
    <row r="8" spans="2:18">
      <c r="B8" s="7" t="s">
        <v>67</v>
      </c>
      <c r="C8">
        <f>C6</f>
        <v>32</v>
      </c>
      <c r="D8">
        <f>D6+C8</f>
        <v>32</v>
      </c>
      <c r="E8">
        <f t="shared" ref="E8:P8" si="2">E6+D8</f>
        <v>32</v>
      </c>
      <c r="F8">
        <f t="shared" si="2"/>
        <v>34</v>
      </c>
      <c r="G8">
        <f t="shared" si="2"/>
        <v>34</v>
      </c>
      <c r="H8">
        <f t="shared" si="2"/>
        <v>34</v>
      </c>
      <c r="I8">
        <f t="shared" si="2"/>
        <v>35</v>
      </c>
      <c r="J8">
        <f t="shared" si="2"/>
        <v>35</v>
      </c>
      <c r="K8">
        <f t="shared" si="2"/>
        <v>36</v>
      </c>
      <c r="L8">
        <f t="shared" si="2"/>
        <v>37</v>
      </c>
      <c r="M8">
        <f t="shared" si="2"/>
        <v>40</v>
      </c>
      <c r="N8">
        <f t="shared" si="2"/>
        <v>40</v>
      </c>
      <c r="O8">
        <f t="shared" si="2"/>
        <v>41</v>
      </c>
      <c r="P8">
        <f t="shared" si="2"/>
        <v>41</v>
      </c>
      <c r="Q8" s="2">
        <f>Q6-O8</f>
        <v>0</v>
      </c>
    </row>
    <row r="9" spans="2:18">
      <c r="B9" s="4" t="s">
        <v>11</v>
      </c>
      <c r="C9" s="13"/>
      <c r="Q9" s="2"/>
    </row>
    <row r="10" spans="2:18">
      <c r="B10" s="1" t="s">
        <v>0</v>
      </c>
      <c r="C10" s="1">
        <v>32</v>
      </c>
      <c r="D10" s="2">
        <v>0</v>
      </c>
      <c r="E10" s="2">
        <v>73</v>
      </c>
      <c r="F10" s="2">
        <v>26</v>
      </c>
      <c r="G10" s="2">
        <v>112</v>
      </c>
      <c r="H10" s="2">
        <v>30</v>
      </c>
      <c r="I10" s="2">
        <v>28</v>
      </c>
      <c r="J10" s="2">
        <v>51</v>
      </c>
      <c r="K10" s="2">
        <v>78</v>
      </c>
      <c r="L10" s="2">
        <v>20</v>
      </c>
      <c r="M10" s="2">
        <v>60</v>
      </c>
      <c r="N10" s="2">
        <v>0</v>
      </c>
      <c r="O10" s="2">
        <v>143</v>
      </c>
      <c r="P10" s="2">
        <v>0</v>
      </c>
      <c r="Q10" s="2">
        <f>SUM(C10:P10)</f>
        <v>653</v>
      </c>
      <c r="R10">
        <f>Q5+Q10</f>
        <v>2353</v>
      </c>
    </row>
    <row r="11" spans="2:18">
      <c r="B11" s="1" t="s">
        <v>1</v>
      </c>
      <c r="C11" s="1">
        <v>1</v>
      </c>
      <c r="D11" s="2">
        <v>0</v>
      </c>
      <c r="E11" s="2">
        <v>2</v>
      </c>
      <c r="F11" s="2">
        <v>1</v>
      </c>
      <c r="G11" s="2">
        <v>2</v>
      </c>
      <c r="H11" s="2">
        <v>1</v>
      </c>
      <c r="I11" s="2">
        <v>1</v>
      </c>
      <c r="J11" s="2">
        <v>2</v>
      </c>
      <c r="K11" s="2">
        <v>3</v>
      </c>
      <c r="L11" s="2">
        <v>1</v>
      </c>
      <c r="M11" s="2">
        <v>2</v>
      </c>
      <c r="N11" s="2">
        <v>0</v>
      </c>
      <c r="O11" s="2">
        <v>5</v>
      </c>
      <c r="P11" s="2">
        <v>0</v>
      </c>
      <c r="Q11" s="2">
        <f>SUM(C11:P11)</f>
        <v>21</v>
      </c>
    </row>
    <row r="12" spans="2:18">
      <c r="B12" s="7" t="s">
        <v>69</v>
      </c>
      <c r="C12" s="7">
        <f>C10</f>
        <v>32</v>
      </c>
      <c r="D12" s="7">
        <f>C12+D10</f>
        <v>32</v>
      </c>
      <c r="E12" s="7">
        <f>D12+E10</f>
        <v>105</v>
      </c>
      <c r="F12" s="7">
        <f t="shared" ref="F12:P12" si="3">E12+F10</f>
        <v>131</v>
      </c>
      <c r="G12" s="7">
        <f t="shared" si="3"/>
        <v>243</v>
      </c>
      <c r="H12" s="7">
        <f t="shared" si="3"/>
        <v>273</v>
      </c>
      <c r="I12" s="7">
        <f t="shared" si="3"/>
        <v>301</v>
      </c>
      <c r="J12" s="7">
        <f t="shared" si="3"/>
        <v>352</v>
      </c>
      <c r="K12" s="7">
        <f t="shared" si="3"/>
        <v>430</v>
      </c>
      <c r="L12" s="7">
        <f t="shared" si="3"/>
        <v>450</v>
      </c>
      <c r="M12" s="7">
        <f t="shared" si="3"/>
        <v>510</v>
      </c>
      <c r="N12" s="7">
        <f t="shared" si="3"/>
        <v>510</v>
      </c>
      <c r="O12" s="7">
        <f t="shared" si="3"/>
        <v>653</v>
      </c>
      <c r="P12" s="7">
        <f t="shared" si="3"/>
        <v>653</v>
      </c>
      <c r="Q12" s="8">
        <f>Q10-O12</f>
        <v>0</v>
      </c>
    </row>
    <row r="13" spans="2:18">
      <c r="B13" s="7" t="s">
        <v>67</v>
      </c>
      <c r="C13">
        <f>C11</f>
        <v>1</v>
      </c>
      <c r="D13">
        <f>D11+C13</f>
        <v>1</v>
      </c>
      <c r="E13">
        <f t="shared" ref="E13:P13" si="4">E11+D13</f>
        <v>3</v>
      </c>
      <c r="F13">
        <f t="shared" si="4"/>
        <v>4</v>
      </c>
      <c r="G13">
        <f t="shared" si="4"/>
        <v>6</v>
      </c>
      <c r="H13">
        <f t="shared" si="4"/>
        <v>7</v>
      </c>
      <c r="I13">
        <f t="shared" si="4"/>
        <v>8</v>
      </c>
      <c r="J13">
        <f t="shared" si="4"/>
        <v>10</v>
      </c>
      <c r="K13">
        <f t="shared" si="4"/>
        <v>13</v>
      </c>
      <c r="L13">
        <f t="shared" si="4"/>
        <v>14</v>
      </c>
      <c r="M13">
        <f t="shared" si="4"/>
        <v>16</v>
      </c>
      <c r="N13">
        <f t="shared" si="4"/>
        <v>16</v>
      </c>
      <c r="O13">
        <f t="shared" si="4"/>
        <v>21</v>
      </c>
      <c r="P13">
        <f t="shared" si="4"/>
        <v>21</v>
      </c>
      <c r="Q13" s="2">
        <f>Q11-O13</f>
        <v>0</v>
      </c>
    </row>
    <row r="14" spans="2:18" s="15" customFormat="1">
      <c r="B14" s="114"/>
      <c r="D14" s="15">
        <f>D12*990</f>
        <v>31680</v>
      </c>
      <c r="E14" s="15">
        <f t="shared" ref="E14:O14" si="5">E12*990</f>
        <v>103950</v>
      </c>
      <c r="F14" s="15">
        <f t="shared" si="5"/>
        <v>129690</v>
      </c>
      <c r="G14" s="15">
        <f t="shared" si="5"/>
        <v>240570</v>
      </c>
      <c r="H14" s="15">
        <f t="shared" si="5"/>
        <v>270270</v>
      </c>
      <c r="I14" s="15">
        <f t="shared" si="5"/>
        <v>297990</v>
      </c>
      <c r="J14" s="15">
        <f t="shared" si="5"/>
        <v>348480</v>
      </c>
      <c r="K14" s="15">
        <f t="shared" si="5"/>
        <v>425700</v>
      </c>
      <c r="L14" s="15">
        <f t="shared" si="5"/>
        <v>445500</v>
      </c>
      <c r="M14" s="15">
        <f t="shared" si="5"/>
        <v>504900</v>
      </c>
      <c r="N14" s="15">
        <f t="shared" si="5"/>
        <v>504900</v>
      </c>
      <c r="O14" s="15">
        <f t="shared" si="5"/>
        <v>646470</v>
      </c>
      <c r="Q14" s="115"/>
      <c r="R14" s="15">
        <f>SUM(D14:O14)</f>
        <v>3950100</v>
      </c>
    </row>
    <row r="15" spans="2:18">
      <c r="B15" s="7"/>
      <c r="Q15" s="113"/>
    </row>
    <row r="16" spans="2:18">
      <c r="B16" s="7"/>
      <c r="Q16" s="113"/>
    </row>
    <row r="17" spans="2:15" ht="15" thickBot="1">
      <c r="D17" s="106" t="s">
        <v>82</v>
      </c>
      <c r="E17" s="106"/>
      <c r="F17" s="106"/>
      <c r="G17" s="106"/>
      <c r="H17" s="106"/>
    </row>
    <row r="18" spans="2:15" ht="14.5" customHeight="1">
      <c r="B18" s="55"/>
      <c r="C18" s="107" t="s">
        <v>90</v>
      </c>
      <c r="D18" s="107" t="s">
        <v>7</v>
      </c>
      <c r="E18" s="56" t="s">
        <v>8</v>
      </c>
      <c r="F18" s="56" t="s">
        <v>9</v>
      </c>
      <c r="G18" s="56" t="s">
        <v>10</v>
      </c>
      <c r="H18" s="57" t="s">
        <v>5</v>
      </c>
      <c r="O18">
        <f>O12+O7</f>
        <v>2353</v>
      </c>
    </row>
    <row r="19" spans="2:15" ht="15.5">
      <c r="B19" s="58" t="s">
        <v>14</v>
      </c>
      <c r="C19" s="108"/>
      <c r="D19" s="108"/>
      <c r="E19" s="10"/>
      <c r="F19" s="10"/>
      <c r="G19" s="10"/>
      <c r="H19" s="59"/>
    </row>
    <row r="20" spans="2:15" ht="15.5">
      <c r="B20" s="60" t="s">
        <v>11</v>
      </c>
      <c r="H20" s="61"/>
    </row>
    <row r="21" spans="2:15" ht="16">
      <c r="B21" s="62" t="s">
        <v>80</v>
      </c>
      <c r="C21" s="12">
        <v>5</v>
      </c>
      <c r="D21" s="12">
        <v>0</v>
      </c>
      <c r="E21" s="12">
        <v>0</v>
      </c>
      <c r="F21" s="12">
        <v>2</v>
      </c>
      <c r="G21" s="12">
        <v>0</v>
      </c>
      <c r="H21" s="63">
        <f>SUM(D21:G21)</f>
        <v>2</v>
      </c>
    </row>
    <row r="22" spans="2:15" ht="16">
      <c r="B22" s="62" t="s">
        <v>81</v>
      </c>
      <c r="C22" s="12">
        <v>143</v>
      </c>
      <c r="D22">
        <v>0</v>
      </c>
      <c r="E22">
        <v>0</v>
      </c>
      <c r="F22">
        <v>0</v>
      </c>
      <c r="G22">
        <v>0</v>
      </c>
      <c r="H22" s="63">
        <f t="shared" ref="H22:H25" si="6">SUM(D22:G22)</f>
        <v>0</v>
      </c>
    </row>
    <row r="23" spans="2:15" ht="16">
      <c r="B23" s="60" t="s">
        <v>12</v>
      </c>
      <c r="H23" s="63">
        <f t="shared" si="6"/>
        <v>0</v>
      </c>
    </row>
    <row r="24" spans="2:15" ht="16">
      <c r="B24" s="62" t="s">
        <v>80</v>
      </c>
      <c r="C24" s="12">
        <v>0</v>
      </c>
      <c r="D24" s="12">
        <v>0</v>
      </c>
      <c r="E24" s="12">
        <v>0</v>
      </c>
      <c r="F24" s="12">
        <v>0</v>
      </c>
      <c r="G24" s="12">
        <v>0</v>
      </c>
      <c r="H24" s="63">
        <f t="shared" si="6"/>
        <v>0</v>
      </c>
    </row>
    <row r="25" spans="2:15" ht="16">
      <c r="B25" s="62" t="s">
        <v>81</v>
      </c>
      <c r="C25" s="12">
        <v>55</v>
      </c>
      <c r="D25">
        <v>0</v>
      </c>
      <c r="E25">
        <v>0</v>
      </c>
      <c r="F25">
        <v>0</v>
      </c>
      <c r="G25">
        <v>0</v>
      </c>
      <c r="H25" s="63">
        <f t="shared" si="6"/>
        <v>0</v>
      </c>
    </row>
    <row r="26" spans="2:15">
      <c r="B26" s="64"/>
      <c r="H26" s="61"/>
    </row>
    <row r="27" spans="2:15" ht="15.5">
      <c r="B27" s="60" t="s">
        <v>5</v>
      </c>
      <c r="H27" s="61"/>
    </row>
    <row r="28" spans="2:15">
      <c r="B28" s="62" t="s">
        <v>80</v>
      </c>
      <c r="C28">
        <f>C21+C24</f>
        <v>5</v>
      </c>
      <c r="D28">
        <f>SUM(D21+D24)</f>
        <v>0</v>
      </c>
      <c r="E28">
        <f t="shared" ref="E28:G28" si="7">SUM(E21+E24)</f>
        <v>0</v>
      </c>
      <c r="F28">
        <f t="shared" si="7"/>
        <v>2</v>
      </c>
      <c r="G28">
        <f t="shared" si="7"/>
        <v>0</v>
      </c>
      <c r="H28" s="61">
        <f>SUM(D28:G28)</f>
        <v>2</v>
      </c>
    </row>
    <row r="29" spans="2:15" ht="15" thickBot="1">
      <c r="B29" s="65" t="s">
        <v>81</v>
      </c>
      <c r="C29" s="66">
        <f>C22+C25</f>
        <v>198</v>
      </c>
      <c r="D29" s="66">
        <f>D25+D22</f>
        <v>0</v>
      </c>
      <c r="E29" s="66">
        <f t="shared" ref="E29:G29" si="8">E25+E22</f>
        <v>0</v>
      </c>
      <c r="F29" s="66">
        <f t="shared" si="8"/>
        <v>0</v>
      </c>
      <c r="G29" s="66">
        <f t="shared" si="8"/>
        <v>0</v>
      </c>
      <c r="H29" s="67">
        <f>SUM(D29:G29)</f>
        <v>0</v>
      </c>
    </row>
    <row r="31" spans="2:15" ht="15" thickBot="1"/>
    <row r="32" spans="2:15">
      <c r="B32" s="79" t="s">
        <v>96</v>
      </c>
      <c r="H32" s="117" t="s">
        <v>125</v>
      </c>
      <c r="I32" s="118" t="s">
        <v>121</v>
      </c>
      <c r="J32" s="119" t="s">
        <v>122</v>
      </c>
    </row>
    <row r="33" spans="2:10" ht="130.5">
      <c r="B33" s="124" t="s">
        <v>124</v>
      </c>
      <c r="H33" s="120" t="s">
        <v>74</v>
      </c>
      <c r="I33" s="121"/>
      <c r="J33" s="61"/>
    </row>
    <row r="34" spans="2:10" ht="29">
      <c r="H34" s="122" t="s">
        <v>104</v>
      </c>
      <c r="I34" s="121" t="s">
        <v>109</v>
      </c>
      <c r="J34" s="61" t="s">
        <v>123</v>
      </c>
    </row>
    <row r="35" spans="2:10" ht="29">
      <c r="H35" s="122" t="s">
        <v>105</v>
      </c>
      <c r="I35" s="121" t="s">
        <v>109</v>
      </c>
      <c r="J35" s="61" t="s">
        <v>123</v>
      </c>
    </row>
    <row r="36" spans="2:10" ht="29">
      <c r="H36" s="122" t="s">
        <v>106</v>
      </c>
      <c r="I36" s="121" t="s">
        <v>109</v>
      </c>
      <c r="J36" s="61" t="s">
        <v>123</v>
      </c>
    </row>
    <row r="37" spans="2:10" ht="58">
      <c r="H37" s="122" t="s">
        <v>107</v>
      </c>
      <c r="I37" s="121" t="s">
        <v>109</v>
      </c>
      <c r="J37" s="61" t="s">
        <v>123</v>
      </c>
    </row>
    <row r="38" spans="2:10" ht="15" thickBot="1">
      <c r="H38" s="123" t="s">
        <v>108</v>
      </c>
      <c r="I38" s="66" t="s">
        <v>109</v>
      </c>
      <c r="J38" s="67" t="s">
        <v>123</v>
      </c>
    </row>
    <row r="39" spans="2:10">
      <c r="D39" s="49"/>
      <c r="H39" s="68"/>
    </row>
    <row r="40" spans="2:10" ht="15" thickBot="1"/>
    <row r="46" spans="2:10" ht="16">
      <c r="D46" s="81"/>
    </row>
    <row r="57" spans="4:4" ht="16">
      <c r="D57" s="81"/>
    </row>
  </sheetData>
  <mergeCells count="3">
    <mergeCell ref="D17:H17"/>
    <mergeCell ref="C18:C19"/>
    <mergeCell ref="D18:D19"/>
  </mergeCells>
  <phoneticPr fontId="6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6EA80-BE8E-4DE6-8D24-E9F6B4856218}">
  <dimension ref="B1:L26"/>
  <sheetViews>
    <sheetView workbookViewId="0">
      <selection activeCell="C5" sqref="C5"/>
    </sheetView>
  </sheetViews>
  <sheetFormatPr defaultRowHeight="14.5"/>
  <cols>
    <col min="3" max="3" width="13.81640625" style="15" bestFit="1" customWidth="1"/>
    <col min="5" max="5" width="2.1796875" customWidth="1"/>
    <col min="6" max="6" width="11.1796875" bestFit="1" customWidth="1"/>
    <col min="12" max="12" width="11.1796875" bestFit="1" customWidth="1"/>
  </cols>
  <sheetData>
    <row r="1" spans="2:12">
      <c r="C1" s="99" t="s">
        <v>102</v>
      </c>
      <c r="D1" s="100"/>
      <c r="E1" s="100"/>
      <c r="F1" s="100"/>
    </row>
    <row r="3" spans="2:12">
      <c r="C3" s="15" t="s">
        <v>15</v>
      </c>
      <c r="F3" s="14" t="s">
        <v>16</v>
      </c>
      <c r="I3" t="s">
        <v>72</v>
      </c>
    </row>
    <row r="4" spans="2:12">
      <c r="F4" s="14"/>
      <c r="I4" t="s">
        <v>71</v>
      </c>
      <c r="J4" s="17">
        <f>F8/C8</f>
        <v>0.92389328046050812</v>
      </c>
    </row>
    <row r="5" spans="2:12">
      <c r="B5" t="s">
        <v>17</v>
      </c>
      <c r="C5" s="16">
        <v>19829108.529606465</v>
      </c>
      <c r="D5" s="17">
        <f>C5/$C$8</f>
        <v>0.68834081383860957</v>
      </c>
      <c r="E5" s="17"/>
      <c r="F5" s="96">
        <v>16309243</v>
      </c>
      <c r="G5" s="17">
        <f>F5/F8</f>
        <v>0.61279092669635804</v>
      </c>
      <c r="I5" t="s">
        <v>17</v>
      </c>
      <c r="J5" s="17">
        <f>F5/C5</f>
        <v>0.82248997606972496</v>
      </c>
    </row>
    <row r="6" spans="2:12">
      <c r="B6" t="s">
        <v>18</v>
      </c>
      <c r="C6" s="15">
        <v>8978000</v>
      </c>
      <c r="D6" s="17">
        <f>C6/$C$8</f>
        <v>0.31165918616139043</v>
      </c>
      <c r="E6" s="17"/>
      <c r="F6" s="96">
        <f>9545762+732207+27482</f>
        <v>10305451</v>
      </c>
      <c r="G6" s="17">
        <f>F6/F8</f>
        <v>0.38720907330364196</v>
      </c>
      <c r="I6" t="s">
        <v>18</v>
      </c>
      <c r="J6" s="17">
        <f>F6/C6</f>
        <v>1.1478559812875919</v>
      </c>
    </row>
    <row r="8" spans="2:12">
      <c r="B8" t="s">
        <v>5</v>
      </c>
      <c r="C8" s="15">
        <f>SUM(C5:C7)</f>
        <v>28807108.529606465</v>
      </c>
      <c r="F8" s="18">
        <f>SUM(F5:F7)</f>
        <v>26614694</v>
      </c>
    </row>
    <row r="10" spans="2:12">
      <c r="C10" s="100" t="s">
        <v>99</v>
      </c>
      <c r="D10" s="100"/>
      <c r="E10" s="100"/>
      <c r="F10" s="100"/>
    </row>
    <row r="12" spans="2:12">
      <c r="C12" s="19" t="s">
        <v>100</v>
      </c>
      <c r="F12" s="20" t="s">
        <v>101</v>
      </c>
      <c r="I12" t="s">
        <v>73</v>
      </c>
    </row>
    <row r="13" spans="2:12">
      <c r="F13" s="14"/>
      <c r="I13" t="s">
        <v>71</v>
      </c>
      <c r="J13" s="17">
        <f>F17/C17-1</f>
        <v>0.41348130932945559</v>
      </c>
      <c r="L13" s="18"/>
    </row>
    <row r="14" spans="2:12">
      <c r="B14" t="s">
        <v>17</v>
      </c>
      <c r="C14" s="96">
        <v>11936185</v>
      </c>
      <c r="D14" s="17">
        <f>C14/C17</f>
        <v>0.63391953340506602</v>
      </c>
      <c r="E14" s="17"/>
      <c r="F14" s="96">
        <v>16309243</v>
      </c>
      <c r="G14" s="17">
        <f>F14/F17</f>
        <v>0.61279092669635804</v>
      </c>
      <c r="I14" t="s">
        <v>17</v>
      </c>
      <c r="J14" s="17">
        <f>F14/C14-1</f>
        <v>0.36636982419424635</v>
      </c>
    </row>
    <row r="15" spans="2:12">
      <c r="B15" t="s">
        <v>18</v>
      </c>
      <c r="C15" s="96">
        <v>6892995</v>
      </c>
      <c r="D15" s="17">
        <f>C15/C17</f>
        <v>0.36608046659493404</v>
      </c>
      <c r="E15" s="17"/>
      <c r="F15" s="96">
        <v>10305451</v>
      </c>
      <c r="G15" s="17">
        <f>F15/F17</f>
        <v>0.38720907330364196</v>
      </c>
      <c r="I15" t="s">
        <v>18</v>
      </c>
      <c r="J15" s="17">
        <f>F15/C15-1</f>
        <v>0.49506143555885362</v>
      </c>
    </row>
    <row r="17" spans="2:10">
      <c r="B17" t="s">
        <v>5</v>
      </c>
      <c r="C17" s="15">
        <f>SUM(C14:C16)</f>
        <v>18829180</v>
      </c>
      <c r="F17" s="18">
        <f>SUM(F14:F16)</f>
        <v>26614694</v>
      </c>
    </row>
    <row r="19" spans="2:10">
      <c r="C19" s="100" t="s">
        <v>97</v>
      </c>
      <c r="D19" s="100"/>
      <c r="E19" s="100"/>
      <c r="F19" s="100"/>
    </row>
    <row r="21" spans="2:10">
      <c r="C21" s="19" t="s">
        <v>19</v>
      </c>
      <c r="F21" s="20" t="s">
        <v>20</v>
      </c>
      <c r="I21" t="s">
        <v>73</v>
      </c>
    </row>
    <row r="22" spans="2:10">
      <c r="F22" s="14"/>
      <c r="I22" t="s">
        <v>71</v>
      </c>
      <c r="J22" s="17">
        <f>F26/C26-1</f>
        <v>0.14412756618580391</v>
      </c>
    </row>
    <row r="23" spans="2:10">
      <c r="B23" t="s">
        <v>98</v>
      </c>
      <c r="C23" s="97">
        <v>45740209</v>
      </c>
      <c r="D23" s="17"/>
      <c r="E23" s="17"/>
      <c r="F23" s="98">
        <v>52332634</v>
      </c>
      <c r="G23" s="17"/>
      <c r="J23" s="17"/>
    </row>
    <row r="24" spans="2:10">
      <c r="D24" s="17"/>
      <c r="E24" s="17"/>
      <c r="F24" s="15"/>
      <c r="G24" s="17"/>
      <c r="J24" s="17"/>
    </row>
    <row r="26" spans="2:10">
      <c r="B26" t="s">
        <v>5</v>
      </c>
      <c r="C26" s="15">
        <f>SUM(C23:C25)</f>
        <v>45740209</v>
      </c>
      <c r="F26" s="18">
        <f>SUM(F23:F25)</f>
        <v>52332634</v>
      </c>
      <c r="I26" s="17"/>
    </row>
  </sheetData>
  <mergeCells count="3">
    <mergeCell ref="C1:F1"/>
    <mergeCell ref="C10:F10"/>
    <mergeCell ref="C19:F1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F03AE-18E5-4F3E-9E2F-61F434271FD8}">
  <dimension ref="B2:H20"/>
  <sheetViews>
    <sheetView tabSelected="1" topLeftCell="A3" workbookViewId="0">
      <selection activeCell="F18" sqref="F18"/>
    </sheetView>
  </sheetViews>
  <sheetFormatPr defaultRowHeight="14.5"/>
  <cols>
    <col min="2" max="2" width="21.08984375" bestFit="1" customWidth="1"/>
    <col min="3" max="3" width="11.1796875" bestFit="1" customWidth="1"/>
    <col min="4" max="4" width="10.453125" bestFit="1" customWidth="1"/>
    <col min="5" max="5" width="11.1796875" bestFit="1" customWidth="1"/>
    <col min="6" max="6" width="9.6328125" bestFit="1" customWidth="1"/>
    <col min="8" max="8" width="14.81640625" bestFit="1" customWidth="1"/>
  </cols>
  <sheetData>
    <row r="2" spans="2:8" ht="15" thickBot="1"/>
    <row r="3" spans="2:8" ht="21.5" thickBot="1">
      <c r="B3" s="21" t="s">
        <v>64</v>
      </c>
      <c r="C3" s="22"/>
      <c r="D3" s="23"/>
      <c r="E3" s="23"/>
    </row>
    <row r="4" spans="2:8" ht="19" thickBot="1">
      <c r="B4" s="24"/>
      <c r="C4" s="109" t="s">
        <v>65</v>
      </c>
      <c r="D4" s="110"/>
      <c r="E4" s="110"/>
    </row>
    <row r="5" spans="2:8" ht="15" thickBot="1">
      <c r="B5" s="25"/>
      <c r="C5" s="26"/>
      <c r="D5" s="27"/>
      <c r="E5" s="27"/>
    </row>
    <row r="6" spans="2:8" ht="15" thickBot="1">
      <c r="C6" s="29" t="s">
        <v>15</v>
      </c>
      <c r="D6" s="111" t="s">
        <v>22</v>
      </c>
      <c r="E6" s="111"/>
      <c r="F6" s="111"/>
      <c r="G6" s="111"/>
      <c r="H6" s="29" t="s">
        <v>87</v>
      </c>
    </row>
    <row r="7" spans="2:8" ht="16.5" thickBot="1">
      <c r="B7" s="28" t="s">
        <v>21</v>
      </c>
      <c r="C7" s="31"/>
      <c r="D7" s="33" t="s">
        <v>83</v>
      </c>
      <c r="E7" s="33" t="s">
        <v>84</v>
      </c>
      <c r="F7" s="33" t="s">
        <v>85</v>
      </c>
      <c r="G7" s="33" t="s">
        <v>86</v>
      </c>
    </row>
    <row r="8" spans="2:8">
      <c r="B8" s="30" t="s">
        <v>24</v>
      </c>
      <c r="C8" s="31">
        <f>Inflow!C32</f>
        <v>15385400</v>
      </c>
      <c r="D8" s="32">
        <f>Inflow!E32</f>
        <v>0</v>
      </c>
      <c r="E8" s="32">
        <f>Inflow!F32</f>
        <v>70000</v>
      </c>
      <c r="F8" s="32">
        <f>Inflow!G32</f>
        <v>40000</v>
      </c>
      <c r="G8" s="32">
        <f>Inflow!H32</f>
        <v>0</v>
      </c>
      <c r="H8" s="18">
        <f>C8-SUM(D8:G8)</f>
        <v>15275400</v>
      </c>
    </row>
    <row r="9" spans="2:8">
      <c r="B9" s="30" t="s">
        <v>25</v>
      </c>
      <c r="C9" s="31">
        <f>Inflow!C33</f>
        <v>13000000</v>
      </c>
      <c r="D9" s="31">
        <f>Inflow!E33</f>
        <v>355520</v>
      </c>
      <c r="E9" s="31">
        <f>Inflow!F33</f>
        <v>607764</v>
      </c>
      <c r="F9" s="31">
        <f>Inflow!G33</f>
        <v>2000000</v>
      </c>
      <c r="G9" s="31">
        <f>Inflow!H33</f>
        <v>0</v>
      </c>
      <c r="H9" s="18">
        <f t="shared" ref="H9:H10" si="0">C9-SUM(D9:G9)</f>
        <v>10036716</v>
      </c>
    </row>
    <row r="10" spans="2:8">
      <c r="B10" s="30" t="s">
        <v>29</v>
      </c>
      <c r="C10" s="31">
        <f>Inflow!C35</f>
        <v>500000</v>
      </c>
      <c r="D10" s="31">
        <f>Inflow!E35</f>
        <v>0</v>
      </c>
      <c r="E10" s="31">
        <f>Inflow!F35</f>
        <v>34880</v>
      </c>
      <c r="F10" s="31">
        <f>Inflow!G35</f>
        <v>10000</v>
      </c>
      <c r="G10" s="31">
        <f>Inflow!H35</f>
        <v>0</v>
      </c>
      <c r="H10" s="18">
        <f t="shared" si="0"/>
        <v>455120</v>
      </c>
    </row>
    <row r="11" spans="2:8" ht="15" thickBot="1">
      <c r="B11" s="30" t="s">
        <v>58</v>
      </c>
      <c r="C11" s="53">
        <f t="shared" ref="C11:H11" si="1">SUM(C8:C10)</f>
        <v>28885400</v>
      </c>
      <c r="D11" s="53">
        <f t="shared" si="1"/>
        <v>355520</v>
      </c>
      <c r="E11" s="53">
        <f t="shared" si="1"/>
        <v>712644</v>
      </c>
      <c r="F11" s="53">
        <f t="shared" si="1"/>
        <v>2050000</v>
      </c>
      <c r="G11" s="53">
        <f t="shared" si="1"/>
        <v>0</v>
      </c>
      <c r="H11" s="53">
        <f t="shared" si="1"/>
        <v>25767236</v>
      </c>
    </row>
    <row r="12" spans="2:8" ht="16.5" thickBot="1">
      <c r="B12" s="28" t="s">
        <v>26</v>
      </c>
      <c r="C12" s="31"/>
      <c r="D12" s="33"/>
      <c r="E12" s="33"/>
      <c r="H12" s="15">
        <v>19500000</v>
      </c>
    </row>
    <row r="13" spans="2:8">
      <c r="B13" s="30"/>
      <c r="C13" s="31"/>
      <c r="D13" s="33"/>
      <c r="E13" s="33"/>
    </row>
    <row r="14" spans="2:8" ht="15" thickBot="1">
      <c r="B14" s="39"/>
      <c r="C14" s="31"/>
      <c r="D14" s="33"/>
      <c r="E14" s="33"/>
    </row>
    <row r="15" spans="2:8" ht="15" thickBot="1">
      <c r="B15" s="30" t="s">
        <v>27</v>
      </c>
      <c r="C15" s="31"/>
      <c r="D15" s="33"/>
      <c r="E15" s="33"/>
      <c r="H15" s="78">
        <f>SUM(C16:C18)</f>
        <v>2638438</v>
      </c>
    </row>
    <row r="16" spans="2:8" ht="15" thickBot="1">
      <c r="B16" s="37" t="s">
        <v>31</v>
      </c>
      <c r="C16" s="76">
        <v>1354292</v>
      </c>
    </row>
    <row r="17" spans="2:8" ht="15" thickBot="1">
      <c r="B17" s="37" t="s">
        <v>30</v>
      </c>
      <c r="C17" s="76">
        <v>345512</v>
      </c>
    </row>
    <row r="18" spans="2:8" ht="15" thickBot="1">
      <c r="B18" s="37" t="s">
        <v>32</v>
      </c>
      <c r="C18" s="77">
        <v>938634</v>
      </c>
    </row>
    <row r="20" spans="2:8">
      <c r="B20" s="34" t="s">
        <v>75</v>
      </c>
      <c r="H20" s="78">
        <f>H11+H15-H12</f>
        <v>8905674</v>
      </c>
    </row>
  </sheetData>
  <mergeCells count="2">
    <mergeCell ref="C4:E4"/>
    <mergeCell ref="D6:G6"/>
  </mergeCells>
  <phoneticPr fontId="6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4C63B-3B9F-4C09-9FAC-D184836B37C9}">
  <dimension ref="B3:J39"/>
  <sheetViews>
    <sheetView topLeftCell="A19" workbookViewId="0">
      <selection activeCell="F42" sqref="F42"/>
    </sheetView>
  </sheetViews>
  <sheetFormatPr defaultRowHeight="14.5"/>
  <cols>
    <col min="2" max="2" width="34.453125" bestFit="1" customWidth="1"/>
    <col min="3" max="3" width="11.1796875" bestFit="1" customWidth="1"/>
    <col min="4" max="4" width="1.7265625" customWidth="1"/>
    <col min="5" max="5" width="11.1796875" bestFit="1" customWidth="1"/>
    <col min="6" max="6" width="19.6328125" customWidth="1"/>
    <col min="7" max="7" width="11.1796875" bestFit="1" customWidth="1"/>
    <col min="9" max="10" width="11.1796875" bestFit="1" customWidth="1"/>
  </cols>
  <sheetData>
    <row r="3" spans="2:10" ht="15" thickBot="1"/>
    <row r="4" spans="2:10" ht="21.5" thickBot="1">
      <c r="B4" s="21" t="s">
        <v>70</v>
      </c>
      <c r="C4" s="22"/>
      <c r="D4" s="42"/>
      <c r="E4" s="23"/>
      <c r="F4" s="23"/>
      <c r="G4" s="23"/>
      <c r="H4" s="23"/>
      <c r="I4" s="23"/>
    </row>
    <row r="5" spans="2:10" ht="19" thickBot="1">
      <c r="B5" s="24"/>
      <c r="C5" s="109" t="s">
        <v>103</v>
      </c>
      <c r="D5" s="110"/>
      <c r="E5" s="110"/>
      <c r="F5" s="110"/>
      <c r="G5" s="51"/>
      <c r="H5" s="51"/>
      <c r="I5" s="51"/>
    </row>
    <row r="6" spans="2:10" ht="15" thickBot="1">
      <c r="B6" s="25"/>
      <c r="C6" s="26"/>
      <c r="D6" s="26"/>
      <c r="E6" s="112" t="s">
        <v>57</v>
      </c>
      <c r="F6" s="112"/>
      <c r="G6" s="112"/>
      <c r="H6" s="52"/>
      <c r="I6" s="52"/>
      <c r="J6" s="52"/>
    </row>
    <row r="7" spans="2:10" ht="38" customHeight="1">
      <c r="B7" s="82" t="s">
        <v>21</v>
      </c>
      <c r="C7" s="83" t="s">
        <v>15</v>
      </c>
      <c r="D7" s="83"/>
      <c r="E7" s="84" t="s">
        <v>22</v>
      </c>
      <c r="F7" s="84"/>
      <c r="G7" s="84"/>
      <c r="H7" s="84"/>
      <c r="I7" s="85" t="s">
        <v>23</v>
      </c>
      <c r="J7" s="85" t="s">
        <v>58</v>
      </c>
    </row>
    <row r="8" spans="2:10">
      <c r="B8" s="86" t="s">
        <v>60</v>
      </c>
      <c r="C8" s="87"/>
      <c r="D8" s="87"/>
      <c r="E8" s="88" t="s">
        <v>83</v>
      </c>
      <c r="F8" s="88" t="s">
        <v>84</v>
      </c>
      <c r="G8" s="88" t="s">
        <v>85</v>
      </c>
      <c r="H8" s="88" t="s">
        <v>86</v>
      </c>
      <c r="I8" s="88"/>
      <c r="J8" s="89"/>
    </row>
    <row r="9" spans="2:10">
      <c r="B9" s="86" t="s">
        <v>28</v>
      </c>
      <c r="C9" s="87"/>
      <c r="D9" s="87"/>
      <c r="E9" s="88"/>
      <c r="F9" s="88"/>
      <c r="G9" s="88"/>
      <c r="H9" s="88"/>
      <c r="I9" s="88"/>
      <c r="J9" s="89"/>
    </row>
    <row r="10" spans="2:10">
      <c r="B10" s="90" t="s">
        <v>91</v>
      </c>
      <c r="C10" s="91">
        <v>1800000</v>
      </c>
      <c r="D10" s="87"/>
      <c r="E10" s="40"/>
      <c r="F10" s="40"/>
      <c r="G10" s="40"/>
      <c r="H10" s="40"/>
      <c r="I10" s="88">
        <f>C10-SUM(E10:H10)</f>
        <v>1800000</v>
      </c>
      <c r="J10" s="89"/>
    </row>
    <row r="11" spans="2:10">
      <c r="B11" s="92" t="s">
        <v>92</v>
      </c>
      <c r="C11" s="91">
        <v>1000000</v>
      </c>
      <c r="D11" s="89"/>
      <c r="E11" s="89"/>
      <c r="F11" s="89"/>
      <c r="G11" s="89"/>
      <c r="H11" s="89"/>
      <c r="I11" s="88">
        <f t="shared" ref="I11:I39" si="0">C11-SUM(E11:H11)</f>
        <v>1000000</v>
      </c>
      <c r="J11" s="89"/>
    </row>
    <row r="12" spans="2:10">
      <c r="B12" s="90" t="s">
        <v>94</v>
      </c>
      <c r="C12" s="91">
        <v>825000</v>
      </c>
      <c r="D12" s="87"/>
      <c r="E12" s="40"/>
      <c r="F12" s="40"/>
      <c r="G12" s="40"/>
      <c r="H12" s="40"/>
      <c r="I12" s="88">
        <f t="shared" si="0"/>
        <v>825000</v>
      </c>
      <c r="J12" s="89"/>
    </row>
    <row r="13" spans="2:10">
      <c r="B13" s="90" t="s">
        <v>51</v>
      </c>
      <c r="C13" s="91">
        <v>680400</v>
      </c>
      <c r="D13" s="87"/>
      <c r="E13" s="88"/>
      <c r="F13" s="88"/>
      <c r="G13" s="88"/>
      <c r="H13" s="88"/>
      <c r="I13" s="88">
        <f t="shared" si="0"/>
        <v>680400</v>
      </c>
      <c r="J13" s="89"/>
    </row>
    <row r="14" spans="2:10">
      <c r="B14" s="92" t="s">
        <v>52</v>
      </c>
      <c r="C14" s="91">
        <v>1080000</v>
      </c>
      <c r="D14" s="87"/>
      <c r="E14" s="88"/>
      <c r="F14" s="88"/>
      <c r="G14" s="88"/>
      <c r="H14" s="88"/>
      <c r="I14" s="88">
        <f t="shared" si="0"/>
        <v>1080000</v>
      </c>
      <c r="J14" s="89"/>
    </row>
    <row r="15" spans="2:10">
      <c r="B15" s="92" t="s">
        <v>110</v>
      </c>
      <c r="C15" s="91">
        <v>700000</v>
      </c>
      <c r="D15" s="87"/>
      <c r="E15" s="88"/>
      <c r="F15" s="88"/>
      <c r="G15" s="88"/>
      <c r="H15" s="88"/>
      <c r="I15" s="88">
        <f t="shared" si="0"/>
        <v>700000</v>
      </c>
      <c r="J15" s="89"/>
    </row>
    <row r="16" spans="2:10">
      <c r="B16" s="90" t="s">
        <v>111</v>
      </c>
      <c r="C16" s="91">
        <v>800000</v>
      </c>
      <c r="D16" s="87"/>
      <c r="E16" s="88"/>
      <c r="F16" s="88"/>
      <c r="G16" s="88"/>
      <c r="H16" s="88"/>
      <c r="I16" s="88">
        <f t="shared" si="0"/>
        <v>800000</v>
      </c>
      <c r="J16" s="89"/>
    </row>
    <row r="17" spans="2:10">
      <c r="B17" s="90"/>
      <c r="C17" s="89"/>
      <c r="D17" s="89"/>
      <c r="E17" s="89"/>
      <c r="F17" s="89"/>
      <c r="G17" s="89"/>
      <c r="H17" s="89"/>
      <c r="I17" s="88">
        <f t="shared" si="0"/>
        <v>0</v>
      </c>
      <c r="J17" s="89"/>
    </row>
    <row r="18" spans="2:10">
      <c r="B18" s="90" t="s">
        <v>93</v>
      </c>
      <c r="C18" s="91">
        <v>750000</v>
      </c>
      <c r="D18" s="87"/>
      <c r="E18" s="40"/>
      <c r="F18" s="40"/>
      <c r="G18" s="40"/>
      <c r="H18" s="40"/>
      <c r="I18" s="88">
        <f>C18-SUM(E18:H18)</f>
        <v>750000</v>
      </c>
      <c r="J18" s="89"/>
    </row>
    <row r="19" spans="2:10">
      <c r="B19" s="90" t="s">
        <v>55</v>
      </c>
      <c r="C19" s="91">
        <v>5000000</v>
      </c>
      <c r="D19" s="93"/>
      <c r="E19" s="88"/>
      <c r="F19" s="88"/>
      <c r="G19" s="88"/>
      <c r="H19" s="88"/>
      <c r="I19" s="88">
        <f t="shared" si="0"/>
        <v>5000000</v>
      </c>
      <c r="J19" s="89"/>
    </row>
    <row r="20" spans="2:10">
      <c r="B20" s="90" t="s">
        <v>112</v>
      </c>
      <c r="C20" s="91">
        <v>1750000</v>
      </c>
      <c r="D20" s="93"/>
      <c r="E20" s="88"/>
      <c r="F20" s="88"/>
      <c r="G20" s="88"/>
      <c r="H20" s="88"/>
      <c r="I20" s="88">
        <f t="shared" si="0"/>
        <v>1750000</v>
      </c>
      <c r="J20" s="89"/>
    </row>
    <row r="21" spans="2:10">
      <c r="B21" s="41"/>
      <c r="C21" s="89"/>
      <c r="D21" s="89"/>
      <c r="E21" s="89"/>
      <c r="F21" s="89"/>
      <c r="G21" s="89"/>
      <c r="H21" s="89"/>
      <c r="I21" s="88">
        <f t="shared" si="0"/>
        <v>0</v>
      </c>
      <c r="J21" s="89"/>
    </row>
    <row r="22" spans="2:10">
      <c r="B22" s="86" t="s">
        <v>53</v>
      </c>
      <c r="C22" s="87">
        <f t="shared" ref="C22" si="1">L22+N22</f>
        <v>0</v>
      </c>
      <c r="D22" s="87"/>
      <c r="E22" s="88"/>
      <c r="F22" s="88"/>
      <c r="G22" s="88"/>
      <c r="H22" s="88"/>
      <c r="I22" s="88">
        <f t="shared" si="0"/>
        <v>0</v>
      </c>
      <c r="J22" s="89"/>
    </row>
    <row r="23" spans="2:10">
      <c r="B23" s="92" t="s">
        <v>54</v>
      </c>
      <c r="C23" s="91">
        <v>300000</v>
      </c>
      <c r="D23" s="87"/>
      <c r="E23" s="40"/>
      <c r="F23" s="40"/>
      <c r="G23" s="40"/>
      <c r="H23" s="40"/>
      <c r="I23" s="88">
        <f t="shared" si="0"/>
        <v>300000</v>
      </c>
      <c r="J23" s="89"/>
    </row>
    <row r="24" spans="2:10">
      <c r="B24" s="92" t="s">
        <v>95</v>
      </c>
      <c r="C24" s="91">
        <v>150000</v>
      </c>
      <c r="D24" s="87"/>
      <c r="E24" s="40"/>
      <c r="F24" s="40"/>
      <c r="G24" s="40"/>
      <c r="H24" s="40"/>
      <c r="I24" s="88">
        <f t="shared" si="0"/>
        <v>150000</v>
      </c>
      <c r="J24" s="89"/>
    </row>
    <row r="25" spans="2:10">
      <c r="B25" s="90" t="s">
        <v>113</v>
      </c>
      <c r="C25" s="91">
        <v>400000</v>
      </c>
      <c r="D25" s="87"/>
      <c r="E25" s="40"/>
      <c r="F25" s="40"/>
      <c r="G25" s="40"/>
      <c r="H25" s="40"/>
      <c r="I25" s="88">
        <f t="shared" si="0"/>
        <v>400000</v>
      </c>
      <c r="J25" s="89"/>
    </row>
    <row r="26" spans="2:10">
      <c r="B26" s="90" t="s">
        <v>114</v>
      </c>
      <c r="C26" s="91">
        <v>50000</v>
      </c>
      <c r="D26" s="87"/>
      <c r="E26" s="40"/>
      <c r="F26" s="87">
        <v>50000</v>
      </c>
      <c r="G26" s="40"/>
      <c r="H26" s="40"/>
      <c r="I26" s="88">
        <f t="shared" si="0"/>
        <v>0</v>
      </c>
      <c r="J26" s="89"/>
    </row>
    <row r="27" spans="2:10">
      <c r="B27" s="90"/>
      <c r="C27" s="91"/>
      <c r="D27" s="87"/>
      <c r="E27" s="40"/>
      <c r="F27" s="40"/>
      <c r="G27" s="40"/>
      <c r="H27" s="40"/>
      <c r="I27" s="88">
        <f t="shared" si="0"/>
        <v>0</v>
      </c>
      <c r="J27" s="89"/>
    </row>
    <row r="28" spans="2:10">
      <c r="B28" s="90"/>
      <c r="C28" s="91"/>
      <c r="D28" s="87"/>
      <c r="E28" s="88"/>
      <c r="F28" s="88"/>
      <c r="G28" s="88"/>
      <c r="H28" s="88"/>
      <c r="I28" s="88">
        <f t="shared" si="0"/>
        <v>0</v>
      </c>
      <c r="J28" s="89"/>
    </row>
    <row r="29" spans="2:10">
      <c r="B29" s="86"/>
      <c r="C29" s="87"/>
      <c r="D29" s="87"/>
      <c r="E29" s="88"/>
      <c r="F29" s="88"/>
      <c r="G29" s="88"/>
      <c r="H29" s="88"/>
      <c r="I29" s="88">
        <f t="shared" si="0"/>
        <v>0</v>
      </c>
      <c r="J29" s="89"/>
    </row>
    <row r="30" spans="2:10">
      <c r="B30" s="94" t="s">
        <v>56</v>
      </c>
      <c r="C30" s="87">
        <v>100000</v>
      </c>
      <c r="D30" s="87"/>
      <c r="E30" s="87">
        <v>0</v>
      </c>
      <c r="F30" s="87">
        <v>20000</v>
      </c>
      <c r="G30" s="87">
        <v>40000</v>
      </c>
      <c r="H30" s="87"/>
      <c r="I30" s="88">
        <f t="shared" si="0"/>
        <v>40000</v>
      </c>
      <c r="J30" s="89"/>
    </row>
    <row r="31" spans="2:10">
      <c r="B31" s="86"/>
      <c r="C31" s="87"/>
      <c r="D31" s="87"/>
      <c r="E31" s="87"/>
      <c r="F31" s="87"/>
      <c r="G31" s="87"/>
      <c r="H31" s="87"/>
      <c r="I31" s="88">
        <f t="shared" si="0"/>
        <v>0</v>
      </c>
      <c r="J31" s="89"/>
    </row>
    <row r="32" spans="2:10">
      <c r="B32" s="86" t="s">
        <v>63</v>
      </c>
      <c r="C32" s="87">
        <f>SUM(C10:C30)</f>
        <v>15385400</v>
      </c>
      <c r="D32" s="87">
        <f t="shared" ref="D32:H32" si="2">SUM(D12:D30)</f>
        <v>0</v>
      </c>
      <c r="E32" s="87">
        <f t="shared" si="2"/>
        <v>0</v>
      </c>
      <c r="F32" s="87">
        <f t="shared" si="2"/>
        <v>70000</v>
      </c>
      <c r="G32" s="87">
        <f t="shared" si="2"/>
        <v>40000</v>
      </c>
      <c r="H32" s="87">
        <f t="shared" si="2"/>
        <v>0</v>
      </c>
      <c r="I32" s="88">
        <f t="shared" si="0"/>
        <v>15275400</v>
      </c>
      <c r="J32" s="95">
        <f>I32+SUM(E32:H32)</f>
        <v>15385400</v>
      </c>
    </row>
    <row r="33" spans="2:10">
      <c r="B33" s="35" t="s">
        <v>61</v>
      </c>
      <c r="C33" s="125">
        <f>13000000</f>
        <v>13000000</v>
      </c>
      <c r="D33" s="43"/>
      <c r="E33" s="126">
        <v>355520</v>
      </c>
      <c r="F33" s="127">
        <v>607764</v>
      </c>
      <c r="G33" s="128">
        <v>2000000</v>
      </c>
      <c r="H33" s="69"/>
      <c r="I33" s="88">
        <f t="shared" si="0"/>
        <v>10036716</v>
      </c>
      <c r="J33" s="95">
        <f t="shared" ref="J33:J35" si="3">I33+SUM(E33:H33)</f>
        <v>13000000</v>
      </c>
    </row>
    <row r="34" spans="2:10">
      <c r="B34" s="44"/>
      <c r="C34" s="43"/>
      <c r="D34" s="43"/>
      <c r="E34" s="36"/>
      <c r="F34" s="36"/>
      <c r="G34" s="36"/>
      <c r="H34" s="36"/>
      <c r="I34" s="88">
        <f t="shared" si="0"/>
        <v>0</v>
      </c>
      <c r="J34" s="95">
        <f t="shared" si="3"/>
        <v>0</v>
      </c>
    </row>
    <row r="35" spans="2:10">
      <c r="B35" s="44" t="s">
        <v>62</v>
      </c>
      <c r="C35" s="43">
        <v>500000</v>
      </c>
      <c r="D35" s="43"/>
      <c r="E35" s="36">
        <v>0</v>
      </c>
      <c r="F35" s="36">
        <v>34880</v>
      </c>
      <c r="G35" s="75">
        <v>10000</v>
      </c>
      <c r="H35" s="31"/>
      <c r="I35" s="88">
        <f t="shared" si="0"/>
        <v>455120</v>
      </c>
      <c r="J35" s="95">
        <f t="shared" si="3"/>
        <v>500000</v>
      </c>
    </row>
    <row r="36" spans="2:10">
      <c r="B36" s="44"/>
      <c r="C36" s="43"/>
      <c r="D36" s="43"/>
      <c r="E36" s="36"/>
      <c r="F36" s="36"/>
      <c r="G36" s="36"/>
      <c r="H36" s="36"/>
      <c r="I36" s="88">
        <f t="shared" si="0"/>
        <v>0</v>
      </c>
      <c r="J36" s="18"/>
    </row>
    <row r="37" spans="2:10">
      <c r="E37" s="18"/>
      <c r="I37" s="88">
        <f t="shared" si="0"/>
        <v>0</v>
      </c>
    </row>
    <row r="38" spans="2:10">
      <c r="I38" s="88">
        <f t="shared" si="0"/>
        <v>0</v>
      </c>
    </row>
    <row r="39" spans="2:10">
      <c r="B39" t="s">
        <v>59</v>
      </c>
      <c r="C39" s="18">
        <f>C32+C33+C35</f>
        <v>28885400</v>
      </c>
      <c r="D39" s="18">
        <f t="shared" ref="D39:H39" si="4">D32+D33+D35</f>
        <v>0</v>
      </c>
      <c r="E39" s="18">
        <f t="shared" si="4"/>
        <v>355520</v>
      </c>
      <c r="F39" s="18">
        <f t="shared" si="4"/>
        <v>712644</v>
      </c>
      <c r="G39" s="18">
        <f t="shared" si="4"/>
        <v>2050000</v>
      </c>
      <c r="H39" s="18">
        <f t="shared" si="4"/>
        <v>0</v>
      </c>
      <c r="I39" s="88">
        <f t="shared" si="0"/>
        <v>25767236</v>
      </c>
      <c r="J39" s="95">
        <f t="shared" ref="J39" si="5">I39+SUM(E39:H39)</f>
        <v>28885400</v>
      </c>
    </row>
  </sheetData>
  <mergeCells count="2">
    <mergeCell ref="C5:F5"/>
    <mergeCell ref="E6:G6"/>
  </mergeCells>
  <phoneticPr fontId="6" type="noConversion"/>
  <conditionalFormatting sqref="B17">
    <cfRule type="colorScale" priority="480">
      <colorScale>
        <cfvo type="min"/>
        <cfvo type="max"/>
        <color rgb="FFFCFCFF"/>
        <color rgb="FF63BE7B"/>
      </colorScale>
    </cfRule>
    <cfRule type="dataBar" priority="48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{6A1C6F04-A957-44E4-8195-B47F9496C98E}</x14:id>
        </ext>
      </extLst>
    </cfRule>
    <cfRule type="dataBar" priority="48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{78232ED1-CC5B-497F-9EAB-0521B2DB2364}</x14:id>
        </ext>
      </extLst>
    </cfRule>
    <cfRule type="colorScale" priority="483">
      <colorScale>
        <cfvo type="min"/>
        <cfvo type="max"/>
        <color rgb="FFFCFCFF"/>
        <color rgb="FF63BE7B"/>
      </colorScale>
    </cfRule>
  </conditionalFormatting>
  <conditionalFormatting sqref="B18">
    <cfRule type="colorScale" priority="476">
      <colorScale>
        <cfvo type="min"/>
        <cfvo type="max"/>
        <color rgb="FFFCFCFF"/>
        <color rgb="FF63BE7B"/>
      </colorScale>
    </cfRule>
    <cfRule type="dataBar" priority="47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{1CECD888-8136-47BF-A6A0-60340ADA8C45}</x14:id>
        </ext>
      </extLst>
    </cfRule>
    <cfRule type="dataBar" priority="47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{730AF408-C7E6-4235-8AA9-ED018ED0DABA}</x14:id>
        </ext>
      </extLst>
    </cfRule>
    <cfRule type="colorScale" priority="479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A1C6F04-A957-44E4-8195-B47F9496C98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8232ED1-CC5B-497F-9EAB-0521B2DB236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B17</xm:sqref>
        </x14:conditionalFormatting>
        <x14:conditionalFormatting xmlns:xm="http://schemas.microsoft.com/office/excel/2006/main">
          <x14:cfRule type="dataBar" id="{1CECD888-8136-47BF-A6A0-60340ADA8C4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30AF408-C7E6-4235-8AA9-ED018ED0DAB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B18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8D2AC-A188-4E24-B3B1-721ABBDB2029}">
  <dimension ref="C5:N16"/>
  <sheetViews>
    <sheetView workbookViewId="0">
      <selection activeCell="I18" sqref="I18"/>
    </sheetView>
  </sheetViews>
  <sheetFormatPr defaultRowHeight="14.5"/>
  <cols>
    <col min="3" max="3" width="12.36328125" bestFit="1" customWidth="1"/>
    <col min="4" max="4" width="9.6328125" bestFit="1" customWidth="1"/>
    <col min="9" max="9" width="11.1796875" bestFit="1" customWidth="1"/>
    <col min="14" max="14" width="11.1796875" bestFit="1" customWidth="1"/>
  </cols>
  <sheetData>
    <row r="5" spans="3:14">
      <c r="C5" t="s">
        <v>33</v>
      </c>
      <c r="D5" s="15">
        <v>400000</v>
      </c>
      <c r="F5" s="38" t="s">
        <v>43</v>
      </c>
      <c r="G5" s="31"/>
      <c r="H5" s="33"/>
      <c r="I5" s="31">
        <v>10600000</v>
      </c>
      <c r="K5" s="38" t="s">
        <v>43</v>
      </c>
      <c r="L5" s="31"/>
      <c r="M5" s="33"/>
      <c r="N5" s="31">
        <v>11000000</v>
      </c>
    </row>
    <row r="6" spans="3:14">
      <c r="C6" t="s">
        <v>38</v>
      </c>
      <c r="D6" s="15">
        <v>200000</v>
      </c>
      <c r="F6" s="38" t="s">
        <v>47</v>
      </c>
      <c r="G6" s="31"/>
      <c r="H6" s="33"/>
      <c r="I6" s="31">
        <v>124266</v>
      </c>
      <c r="K6" s="38" t="s">
        <v>47</v>
      </c>
      <c r="L6" s="31"/>
      <c r="M6" s="33"/>
      <c r="N6" s="31">
        <v>124266</v>
      </c>
    </row>
    <row r="7" spans="3:14">
      <c r="C7" t="s">
        <v>34</v>
      </c>
      <c r="D7" s="15">
        <v>300000</v>
      </c>
      <c r="F7" s="38" t="s">
        <v>44</v>
      </c>
      <c r="G7" s="31"/>
      <c r="H7" s="33"/>
      <c r="I7" s="31">
        <v>500000</v>
      </c>
      <c r="K7" s="38" t="s">
        <v>44</v>
      </c>
      <c r="L7" s="31"/>
      <c r="M7" s="33"/>
      <c r="N7" s="31">
        <v>500000</v>
      </c>
    </row>
    <row r="8" spans="3:14">
      <c r="C8" t="s">
        <v>35</v>
      </c>
      <c r="D8" s="15">
        <f>350000*0</f>
        <v>0</v>
      </c>
      <c r="F8" s="38" t="s">
        <v>45</v>
      </c>
      <c r="G8" s="31"/>
      <c r="H8" s="33"/>
      <c r="I8" s="31">
        <v>500000</v>
      </c>
      <c r="K8" s="38" t="s">
        <v>45</v>
      </c>
      <c r="L8" s="31"/>
      <c r="M8" s="33"/>
      <c r="N8" s="31">
        <v>500000</v>
      </c>
    </row>
    <row r="9" spans="3:14">
      <c r="C9" t="s">
        <v>36</v>
      </c>
      <c r="D9" s="15">
        <v>350000</v>
      </c>
      <c r="F9" s="38" t="s">
        <v>46</v>
      </c>
      <c r="G9" s="31"/>
      <c r="H9" s="33"/>
      <c r="I9" s="31">
        <v>2000000</v>
      </c>
      <c r="K9" s="54" t="s">
        <v>76</v>
      </c>
      <c r="N9" s="31">
        <v>500000</v>
      </c>
    </row>
    <row r="10" spans="3:14">
      <c r="C10" t="s">
        <v>37</v>
      </c>
      <c r="D10" s="15"/>
      <c r="F10" s="38" t="s">
        <v>48</v>
      </c>
      <c r="G10" s="31"/>
      <c r="H10" s="33"/>
      <c r="I10" s="31">
        <v>916634.45</v>
      </c>
      <c r="K10" s="54" t="s">
        <v>77</v>
      </c>
      <c r="N10" s="31">
        <v>361000</v>
      </c>
    </row>
    <row r="11" spans="3:14">
      <c r="C11" t="s">
        <v>39</v>
      </c>
      <c r="D11" s="15"/>
      <c r="K11" s="54" t="s">
        <v>78</v>
      </c>
      <c r="N11" s="31">
        <v>500000</v>
      </c>
    </row>
    <row r="12" spans="3:14">
      <c r="C12" t="s">
        <v>40</v>
      </c>
      <c r="D12" s="15">
        <v>100000</v>
      </c>
      <c r="K12" s="54" t="s">
        <v>79</v>
      </c>
      <c r="N12" s="31">
        <v>200000</v>
      </c>
    </row>
    <row r="13" spans="3:14">
      <c r="C13" t="s">
        <v>41</v>
      </c>
      <c r="D13" s="15">
        <v>200000</v>
      </c>
      <c r="I13" s="18">
        <f>SUM(I5:I12)</f>
        <v>14640900.449999999</v>
      </c>
      <c r="N13" s="18">
        <f>SUM(N5:N12)</f>
        <v>13685266</v>
      </c>
    </row>
    <row r="14" spans="3:14">
      <c r="C14" t="s">
        <v>42</v>
      </c>
      <c r="D14" s="15">
        <v>100000</v>
      </c>
    </row>
    <row r="16" spans="3:14">
      <c r="D16" s="18">
        <f>SUM(D5:D15)</f>
        <v>1650000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Signings</vt:lpstr>
      <vt:lpstr>Operational</vt:lpstr>
      <vt:lpstr>Revenue</vt:lpstr>
      <vt:lpstr>cashflow</vt:lpstr>
      <vt:lpstr>Inflow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Nazim Sait Arif</dc:creator>
  <cp:lastModifiedBy>Nazim Sait Arif</cp:lastModifiedBy>
  <dcterms:created xsi:type="dcterms:W3CDTF">2026-03-27T10:47:14Z</dcterms:created>
  <dcterms:modified xsi:type="dcterms:W3CDTF">2026-04-19T10:06:41Z</dcterms:modified>
</cp:coreProperties>
</file>