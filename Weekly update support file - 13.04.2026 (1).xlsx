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5C66214B-7542-4253-836C-1E3EEC4BAD4A}" xr6:coauthVersionLast="47" xr6:coauthVersionMax="47" xr10:uidLastSave="{00000000-0000-0000-0000-000000000000}"/>
  <bookViews>
    <workbookView xWindow="-110" yWindow="-110" windowWidth="19420" windowHeight="11500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7" l="1"/>
  <c r="P13" i="7" s="1"/>
  <c r="P16" i="7" s="1"/>
  <c r="G26" i="7"/>
  <c r="G25" i="7"/>
  <c r="O4" i="7" s="1"/>
  <c r="P4" i="7" s="1"/>
  <c r="G2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O14" i="7"/>
  <c r="P14" i="7" s="1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O15" i="7" l="1"/>
  <c r="P15" i="7" s="1"/>
  <c r="P18" i="7"/>
  <c r="P5" i="7"/>
  <c r="P17" i="7"/>
  <c r="J39" i="5" l="1"/>
  <c r="D9" i="4"/>
  <c r="C9" i="4"/>
  <c r="D8" i="4"/>
  <c r="D30" i="5"/>
  <c r="E30" i="5"/>
  <c r="I30" i="5" s="1"/>
  <c r="F30" i="5"/>
  <c r="G30" i="5"/>
  <c r="H3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C8" i="4"/>
  <c r="I34" i="5"/>
  <c r="I35" i="5"/>
  <c r="I33" i="5"/>
  <c r="C33" i="5"/>
  <c r="H15" i="4" l="1"/>
  <c r="E25" i="2"/>
  <c r="F25" i="2"/>
  <c r="G25" i="2"/>
  <c r="E26" i="2"/>
  <c r="F26" i="2"/>
  <c r="G26" i="2"/>
  <c r="D25" i="2"/>
  <c r="D26" i="2"/>
  <c r="H19" i="2"/>
  <c r="H20" i="2"/>
  <c r="H21" i="2"/>
  <c r="H22" i="2"/>
  <c r="H18" i="2"/>
  <c r="H26" i="2" l="1"/>
  <c r="H25" i="2"/>
  <c r="I10" i="5" l="1"/>
  <c r="F11" i="4"/>
  <c r="G11" i="4"/>
  <c r="H8" i="4"/>
  <c r="H9" i="4"/>
  <c r="D10" i="4"/>
  <c r="H10" i="4" s="1"/>
  <c r="H11" i="4" l="1"/>
  <c r="H20" i="4" s="1"/>
  <c r="D11" i="4"/>
  <c r="C26" i="2"/>
  <c r="C25" i="2"/>
  <c r="N13" i="6" l="1"/>
  <c r="D8" i="6" l="1"/>
  <c r="D16" i="6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I13" i="6"/>
  <c r="P8" i="2" l="1"/>
  <c r="P13" i="2"/>
  <c r="C10" i="4" l="1"/>
  <c r="C11" i="4" s="1"/>
  <c r="C20" i="5"/>
  <c r="P10" i="2"/>
  <c r="C12" i="2"/>
  <c r="D12" i="2" s="1"/>
  <c r="P5" i="2"/>
  <c r="C7" i="2"/>
  <c r="D7" i="2" s="1"/>
  <c r="E39" i="5"/>
  <c r="C30" i="5"/>
  <c r="I39" i="5" s="1"/>
  <c r="J30" i="5" l="1"/>
  <c r="F26" i="3"/>
  <c r="C26" i="3"/>
  <c r="C17" i="3"/>
  <c r="D15" i="3" s="1"/>
  <c r="F17" i="3"/>
  <c r="J13" i="3" s="1"/>
  <c r="G14" i="3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G15" i="3" l="1"/>
  <c r="G5" i="3"/>
  <c r="J4" i="3"/>
  <c r="D14" i="3"/>
  <c r="J22" i="3"/>
  <c r="P12" i="2"/>
  <c r="D5" i="3"/>
  <c r="J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<sst xmlns="http://schemas.openxmlformats.org/spreadsheetml/2006/main" count="179" uniqueCount="115">
  <si>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</si>
  <si>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</si>
  <si>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</si>
  <si>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</si>
  <si>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</si>
  <si>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</si>
  <si>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</si>
  <si>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</si>
  <si>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</si>
  <si>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</si>
  <si>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</si>
  <si>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</si>
  <si>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</si>
  <si>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</si>
  <si>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</si>
  <si>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</si>
  <si>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</si>
  <si>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</si>
  <si>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</si>
  <si>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</si>
  <si>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</si>
  <si>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</si>
  <si>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</si>
  <si>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</si>
  <si>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</si>
  <si>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</si>
  <si>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</si>
  <si>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</si>
  <si>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</si>
  <si>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</si>
  <si>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</si>
  <si>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</si>
  <si>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</si>
  <si>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</si>
  <si>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</si>
  <si>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</si>
  <si>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</si>
  <si>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</si>
  <si>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</si>
  <si>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</si>
  <si>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</si>
  <si>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</si>
  <si>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</si>
  <si>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</si>
  <si>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</si>
  <si>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</si>
  <si>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</si>
  <si>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</si>
  <si>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</si>
  <si>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</si>
  <si>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</si>
  <si>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</si>
  <si>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</si>
  <si>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</si>
  <si>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</si>
  <si>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</si>
  <si>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</si>
  <si>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</si>
  <si>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</si>
  <si>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</si>
  <si>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</si>
  <si>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</si>
  <si>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</si>
  <si>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</si>
  <si>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</si>
  <si>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</si>
  <si>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</si>
  <si>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</si>
  <si>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</si>
  <si>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</si>
  <si>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</si>
  <si>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</si>
  <si>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</si>
  <si>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</si>
  <si>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</si>
  <si>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</si>
  <si>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</si>
  <si>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</si>
  <si>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</si>
  <si>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</si>
  <si>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</si>
  <si>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</si>
  <si>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</si>
  <si>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</si>
  <si>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</si>
  <si>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</si>
  <si>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</si>
  <si>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</si>
  <si>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</si>
  <si>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Target date</t>
  </si>
  <si>
    <t>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</si>
  <si>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</si>
  <si>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</si>
  <si>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</si>
  <si>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</si>
  <si>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</si>
  <si>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</si>
  <si>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</si>
  <si>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</si>
  <si>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</si>
  <si>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</si>
  <si>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Spark Mussoriee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</si>
  <si>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</si>
  <si>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</si>
  <si>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</si>
  <si>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</si>
  <si>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</si>
  <si>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</si>
  <si>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</si>
  <si>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</si>
  <si>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</si>
  <si>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</si>
  <si>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</si>
  <si>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</si>
  <si>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Open: Global stays - Bangalore (25) 2. Xotel - Chennai 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</si>
</sst>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11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3" fontId="16" fillId="0" borderId="4" xfId="0" applyNumberFormat="1" applyFont="1" applyBorder="1" applyAlignment="1">
      <alignment horizontal="right"/>
    </xf>
    <xf numFmtId="3" fontId="16" fillId="0" borderId="5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17" fillId="0" borderId="1" xfId="3" applyFont="1" applyFill="1" applyBorder="1" applyAlignment="1">
      <alignment horizontal="left" vertical="center"/>
    </xf>
    <xf numFmtId="164" fontId="17" fillId="11" borderId="2" xfId="1" applyNumberFormat="1" applyFont="1" applyFill="1" applyBorder="1" applyAlignment="1">
      <alignment vertical="center"/>
    </xf>
    <xf numFmtId="164" fontId="17" fillId="11" borderId="0" xfId="1" applyNumberFormat="1" applyFont="1" applyFill="1" applyBorder="1" applyAlignment="1">
      <alignment vertical="center"/>
    </xf>
    <xf numFmtId="164" fontId="17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3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14" fillId="9" borderId="0" xfId="0" quotePrefix="1" applyFont="1" applyFill="1" applyAlignment="1">
      <alignment horizontal="left"/>
    </xf>
    <xf numFmtId="0" fontId="0" fillId="6" borderId="14" xfId="0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0" fontId="0" fillId="0" borderId="20" xfId="0" applyBorder="1"/>
    <xf numFmtId="0" fontId="0" fillId="0" borderId="12" xfId="0" quotePrefix="1" applyBorder="1"/>
    <xf numFmtId="0" fontId="4" fillId="6" borderId="21" xfId="0" applyFont="1" applyFill="1" applyBorder="1" applyAlignment="1">
      <alignment horizontal="right" vertical="center"/>
    </xf>
    <xf numFmtId="0" fontId="0" fillId="0" borderId="12" xfId="0" applyBorder="1"/>
    <xf numFmtId="0" fontId="0" fillId="0" borderId="22" xfId="0" quotePrefix="1" applyBorder="1"/>
    <xf numFmtId="0" fontId="0" fillId="0" borderId="23" xfId="0" applyBorder="1"/>
    <xf numFmtId="0" fontId="0" fillId="0" borderId="24" xfId="0" applyBorder="1"/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3" fontId="16" fillId="0" borderId="0" xfId="0" applyNumberFormat="1" applyFont="1" applyAlignment="1">
      <alignment horizontal="right"/>
    </xf>
    <xf numFmtId="164" fontId="18" fillId="12" borderId="0" xfId="0" applyNumberFormat="1" applyFont="1" applyFill="1" applyAlignment="1">
      <alignment horizontal="left"/>
    </xf>
    <xf numFmtId="0" fontId="5" fillId="6" borderId="25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4" fillId="6" borderId="27" xfId="0" applyFont="1" applyFill="1" applyBorder="1" applyAlignment="1">
      <alignment horizontal="right" vertical="center"/>
    </xf>
    <xf numFmtId="0" fontId="5" fillId="6" borderId="32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right" vertical="center"/>
    </xf>
    <xf numFmtId="0" fontId="16" fillId="0" borderId="5" xfId="0" applyFont="1" applyBorder="1" applyAlignment="1">
      <alignment horizontal="center"/>
    </xf>
    <xf numFmtId="3" fontId="16" fillId="0" borderId="5" xfId="0" applyNumberFormat="1" applyFont="1" applyBorder="1" applyAlignment="1">
      <alignment horizontal="center"/>
    </xf>
    <xf numFmtId="164" fontId="18" fillId="14" borderId="1" xfId="0" applyNumberFormat="1" applyFont="1" applyFill="1" applyBorder="1" applyAlignment="1">
      <alignment horizontal="left"/>
    </xf>
    <xf numFmtId="164" fontId="0" fillId="15" borderId="13" xfId="1" applyNumberFormat="1" applyFont="1" applyFill="1" applyBorder="1" applyAlignment="1">
      <alignment vertical="center"/>
    </xf>
    <xf numFmtId="164" fontId="0" fillId="15" borderId="0" xfId="1" applyNumberFormat="1" applyFont="1" applyFill="1" applyBorder="1" applyAlignment="1">
      <alignment vertical="center"/>
    </xf>
    <xf numFmtId="164" fontId="12" fillId="16" borderId="0" xfId="1" applyNumberFormat="1" applyFont="1" applyFill="1" applyBorder="1" applyAlignment="1"/>
    <xf numFmtId="165" fontId="12" fillId="16" borderId="9" xfId="1" applyNumberFormat="1" applyFont="1" applyFill="1" applyBorder="1" applyAlignment="1"/>
    <xf numFmtId="164" fontId="12" fillId="16" borderId="9" xfId="1" applyNumberFormat="1" applyFont="1" applyFill="1" applyBorder="1" applyAlignment="1"/>
    <xf numFmtId="165" fontId="0" fillId="0" borderId="0" xfId="0" applyNumberFormat="1"/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3" fontId="2" fillId="0" borderId="0" xfId="0" applyNumberFormat="1" applyFont="1" applyAlignment="1">
      <alignment horizontal="center"/>
    </xf>
    <xf numFmtId="0" fontId="0" fillId="0" borderId="23" xfId="0" applyBorder="1" applyAlignment="1">
      <alignment horizontal="center"/>
    </xf>
    <xf numFmtId="0" fontId="5" fillId="6" borderId="1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6" borderId="31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0"/>
  <sheetViews>
    <sheetView tabSelected="1" topLeftCell="A13" workbookViewId="0">
      <selection activeCell="A30" sqref="A30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57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58"/>
    </row>
    <row r="3" spans="1:16">
      <c r="A3" s="1" t="s">
        <v>0</v>
      </c>
      <c r="B3" s="59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59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60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60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58"/>
      <c r="P7" s="2"/>
    </row>
    <row r="8" spans="1:16">
      <c r="A8" s="1" t="s">
        <v>0</v>
      </c>
      <c r="B8" s="59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59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60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60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58"/>
      <c r="P12" s="2"/>
    </row>
    <row r="13" spans="1:16">
      <c r="A13" s="1" t="s">
        <v>0</v>
      </c>
      <c r="B13" s="59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</f>
        <v>75</v>
      </c>
      <c r="P13" s="2">
        <f>SUM(B13:O13)</f>
        <v>1122</v>
      </c>
    </row>
    <row r="14" spans="1:16">
      <c r="A14" s="1" t="s">
        <v>1</v>
      </c>
      <c r="B14" s="59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3</v>
      </c>
      <c r="P14" s="2">
        <f>SUM(B14:O14)</f>
        <v>43</v>
      </c>
    </row>
    <row r="15" spans="1:16">
      <c r="A15" s="7" t="s">
        <v>6</v>
      </c>
      <c r="B15" s="60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43</v>
      </c>
      <c r="P15" s="8">
        <f>P14-O15</f>
        <v>0</v>
      </c>
    </row>
    <row r="16" spans="1:16">
      <c r="A16" s="7" t="s">
        <v>68</v>
      </c>
      <c r="B16" s="60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1122</v>
      </c>
      <c r="P16" s="8">
        <f>P13-O16</f>
        <v>0</v>
      </c>
    </row>
    <row r="17" spans="1:16">
      <c r="A17" s="7" t="s">
        <v>97</v>
      </c>
      <c r="B17" s="60"/>
      <c r="P17">
        <f>P4+P9+P14</f>
        <v>147</v>
      </c>
    </row>
    <row r="18" spans="1:16">
      <c r="A18" s="7" t="s">
        <v>98</v>
      </c>
      <c r="P18">
        <f>P3+P8+P13</f>
        <v>6614</v>
      </c>
    </row>
    <row r="20" spans="1:16" ht="15" thickBot="1"/>
    <row r="21" spans="1:16">
      <c r="C21" s="105" t="s">
        <v>91</v>
      </c>
      <c r="D21" s="106"/>
      <c r="E21" s="106"/>
      <c r="F21" s="106"/>
      <c r="G21" s="107"/>
    </row>
    <row r="22" spans="1:16" ht="15.5">
      <c r="A22" s="9"/>
      <c r="B22" s="85" t="s">
        <v>65</v>
      </c>
      <c r="C22" s="108" t="s">
        <v>7</v>
      </c>
      <c r="D22" s="62" t="s">
        <v>8</v>
      </c>
      <c r="E22" s="62" t="s">
        <v>9</v>
      </c>
      <c r="F22" s="62" t="s">
        <v>10</v>
      </c>
      <c r="G22" s="88" t="s">
        <v>5</v>
      </c>
    </row>
    <row r="23" spans="1:16" ht="15.5">
      <c r="A23" s="10" t="s">
        <v>14</v>
      </c>
      <c r="B23" s="86"/>
      <c r="C23" s="109"/>
      <c r="D23" s="10"/>
      <c r="E23" s="10"/>
      <c r="F23" s="10"/>
      <c r="G23" s="72"/>
    </row>
    <row r="24" spans="1:16" ht="16">
      <c r="A24" s="11" t="s">
        <v>11</v>
      </c>
      <c r="B24" s="87">
        <v>9</v>
      </c>
      <c r="C24" s="89">
        <v>0</v>
      </c>
      <c r="D24" s="89">
        <v>3</v>
      </c>
      <c r="E24" s="89">
        <v>0</v>
      </c>
      <c r="F24" s="89">
        <v>0</v>
      </c>
      <c r="G24" s="76">
        <f>SUM(C24:F24)</f>
        <v>3</v>
      </c>
    </row>
    <row r="25" spans="1:16" ht="16">
      <c r="A25" s="11" t="s">
        <v>12</v>
      </c>
      <c r="B25" s="87">
        <v>3</v>
      </c>
      <c r="C25" s="89">
        <v>0</v>
      </c>
      <c r="D25" s="89">
        <v>0</v>
      </c>
      <c r="E25" s="89">
        <v>0</v>
      </c>
      <c r="F25" s="89">
        <v>0</v>
      </c>
      <c r="G25" s="76">
        <f>SUM(C25:F25)</f>
        <v>0</v>
      </c>
    </row>
    <row r="26" spans="1:16" ht="16">
      <c r="A26" s="11" t="s">
        <v>13</v>
      </c>
      <c r="B26" s="87">
        <v>4</v>
      </c>
      <c r="C26" s="89">
        <v>0</v>
      </c>
      <c r="D26" s="89">
        <v>0</v>
      </c>
      <c r="E26" s="89">
        <v>0</v>
      </c>
      <c r="F26" s="89">
        <v>0</v>
      </c>
      <c r="G26" s="76">
        <f>SUM(C26:F26)</f>
        <v>0</v>
      </c>
    </row>
    <row r="29" spans="1:16">
      <c r="A29" s="99" t="s">
        <v>106</v>
      </c>
    </row>
    <row r="30" spans="1:16" ht="34.5">
      <c r="A30" s="100" t="s">
        <v>114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37"/>
  <sheetViews>
    <sheetView workbookViewId="0">
      <selection activeCell="C19" sqref="C19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49</v>
      </c>
    </row>
    <row r="3" spans="2:16">
      <c r="C3" s="6" t="s">
        <v>50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5</v>
      </c>
    </row>
    <row r="4" spans="2:16">
      <c r="B4" s="3" t="s">
        <v>2</v>
      </c>
      <c r="C4" s="13"/>
    </row>
    <row r="5" spans="2:16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f>SUM(C5:O5)</f>
        <v>1700</v>
      </c>
    </row>
    <row r="6" spans="2:16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f>SUM(C6:O6)</f>
        <v>41</v>
      </c>
    </row>
    <row r="7" spans="2:16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8">
        <f>P5-O7</f>
        <v>0</v>
      </c>
    </row>
    <row r="8" spans="2:16">
      <c r="B8" s="7" t="s">
        <v>67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 s="2">
        <f>P6-O8</f>
        <v>0</v>
      </c>
    </row>
    <row r="9" spans="2:16">
      <c r="B9" s="4" t="s">
        <v>11</v>
      </c>
      <c r="C9" s="13"/>
      <c r="P9" s="2"/>
    </row>
    <row r="10" spans="2:16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67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4" spans="2:16" ht="15" thickBot="1">
      <c r="D14" s="102" t="s">
        <v>91</v>
      </c>
      <c r="E14" s="102"/>
      <c r="F14" s="102"/>
      <c r="G14" s="102"/>
      <c r="H14" s="102"/>
    </row>
    <row r="15" spans="2:16" ht="14.5" customHeight="1">
      <c r="B15" s="68"/>
      <c r="C15" s="103" t="s">
        <v>99</v>
      </c>
      <c r="D15" s="103" t="s">
        <v>7</v>
      </c>
      <c r="E15" s="69" t="s">
        <v>8</v>
      </c>
      <c r="F15" s="69" t="s">
        <v>9</v>
      </c>
      <c r="G15" s="69" t="s">
        <v>10</v>
      </c>
      <c r="H15" s="70" t="s">
        <v>5</v>
      </c>
    </row>
    <row r="16" spans="2:16" ht="15.5">
      <c r="B16" s="71" t="s">
        <v>14</v>
      </c>
      <c r="C16" s="104"/>
      <c r="D16" s="104"/>
      <c r="E16" s="10"/>
      <c r="F16" s="10"/>
      <c r="G16" s="10"/>
      <c r="H16" s="72"/>
    </row>
    <row r="17" spans="2:9" ht="15.5">
      <c r="B17" s="73" t="s">
        <v>11</v>
      </c>
      <c r="H17" s="74"/>
    </row>
    <row r="18" spans="2:9" ht="16">
      <c r="B18" s="75" t="s">
        <v>87</v>
      </c>
      <c r="C18" s="12">
        <v>5</v>
      </c>
      <c r="D18" s="12">
        <v>0</v>
      </c>
      <c r="E18" s="12">
        <v>0</v>
      </c>
      <c r="F18" s="12">
        <v>0</v>
      </c>
      <c r="G18" s="12">
        <v>0</v>
      </c>
      <c r="H18" s="76">
        <f>SUM(D18:G18)</f>
        <v>0</v>
      </c>
    </row>
    <row r="19" spans="2:9" ht="16">
      <c r="B19" s="75" t="s">
        <v>88</v>
      </c>
      <c r="C19" s="12">
        <v>143</v>
      </c>
      <c r="D19">
        <v>0</v>
      </c>
      <c r="E19">
        <v>0</v>
      </c>
      <c r="F19">
        <v>0</v>
      </c>
      <c r="G19">
        <v>0</v>
      </c>
      <c r="H19" s="76">
        <f t="shared" ref="H19:H22" si="5">SUM(D19:G19)</f>
        <v>0</v>
      </c>
    </row>
    <row r="20" spans="2:9" ht="16">
      <c r="B20" s="73" t="s">
        <v>12</v>
      </c>
      <c r="H20" s="76">
        <f t="shared" si="5"/>
        <v>0</v>
      </c>
    </row>
    <row r="21" spans="2:9" ht="16">
      <c r="B21" s="75" t="s">
        <v>87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76">
        <f t="shared" si="5"/>
        <v>0</v>
      </c>
    </row>
    <row r="22" spans="2:9" ht="16">
      <c r="B22" s="75" t="s">
        <v>88</v>
      </c>
      <c r="C22" s="12">
        <v>55</v>
      </c>
      <c r="D22">
        <v>0</v>
      </c>
      <c r="E22">
        <v>0</v>
      </c>
      <c r="F22">
        <v>0</v>
      </c>
      <c r="G22">
        <v>0</v>
      </c>
      <c r="H22" s="76">
        <f t="shared" si="5"/>
        <v>0</v>
      </c>
    </row>
    <row r="23" spans="2:9">
      <c r="B23" s="77"/>
      <c r="H23" s="74"/>
    </row>
    <row r="24" spans="2:9" ht="15.5">
      <c r="B24" s="73" t="s">
        <v>5</v>
      </c>
      <c r="H24" s="74"/>
    </row>
    <row r="25" spans="2:9">
      <c r="B25" s="75" t="s">
        <v>87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74">
        <f>SUM(D25:G25)</f>
        <v>0</v>
      </c>
    </row>
    <row r="26" spans="2:9" ht="15" thickBot="1">
      <c r="B26" s="78" t="s">
        <v>88</v>
      </c>
      <c r="C26" s="79">
        <f>C19+C22</f>
        <v>198</v>
      </c>
      <c r="D26" s="79">
        <f>D22+D19</f>
        <v>0</v>
      </c>
      <c r="E26" s="79">
        <f t="shared" ref="E26:G26" si="7">E22+E19</f>
        <v>0</v>
      </c>
      <c r="F26" s="79">
        <f t="shared" si="7"/>
        <v>0</v>
      </c>
      <c r="G26" s="79">
        <f t="shared" si="7"/>
        <v>0</v>
      </c>
      <c r="H26" s="80">
        <f>SUM(D26:G26)</f>
        <v>0</v>
      </c>
    </row>
    <row r="28" spans="2:9" ht="15" thickBot="1"/>
    <row r="29" spans="2:9">
      <c r="D29" t="s">
        <v>71</v>
      </c>
      <c r="H29" t="s">
        <v>90</v>
      </c>
      <c r="I29" t="s">
        <v>89</v>
      </c>
    </row>
    <row r="30" spans="2:9">
      <c r="D30" s="66" t="s">
        <v>81</v>
      </c>
    </row>
    <row r="31" spans="2:9">
      <c r="D31" s="61" t="s">
        <v>72</v>
      </c>
      <c r="H31" s="82">
        <v>105</v>
      </c>
      <c r="I31" t="s">
        <v>91</v>
      </c>
    </row>
    <row r="32" spans="2:9">
      <c r="D32" s="61" t="s">
        <v>73</v>
      </c>
      <c r="H32" s="81">
        <v>35</v>
      </c>
      <c r="I32" t="s">
        <v>91</v>
      </c>
    </row>
    <row r="33" spans="4:9">
      <c r="D33" s="61" t="s">
        <v>74</v>
      </c>
      <c r="H33" s="81">
        <v>30</v>
      </c>
      <c r="I33" t="s">
        <v>91</v>
      </c>
    </row>
    <row r="34" spans="4:9">
      <c r="D34" s="61" t="s">
        <v>75</v>
      </c>
      <c r="H34" s="81">
        <v>39</v>
      </c>
      <c r="I34" t="s">
        <v>91</v>
      </c>
    </row>
    <row r="35" spans="4:9">
      <c r="D35" s="61" t="s">
        <v>76</v>
      </c>
      <c r="H35" s="81">
        <v>56</v>
      </c>
      <c r="I35" t="s">
        <v>91</v>
      </c>
    </row>
    <row r="36" spans="4:9">
      <c r="D36" s="61" t="s">
        <v>77</v>
      </c>
      <c r="H36" s="81">
        <v>36</v>
      </c>
      <c r="I36" t="s">
        <v>91</v>
      </c>
    </row>
    <row r="37" spans="4:9" ht="15" thickBot="1"/>
  </sheetData>
  <mergeCells count="3">
    <mergeCell ref="D14:H14"/>
    <mergeCell ref="C15:C16"/>
    <mergeCell ref="D15:D16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workbookViewId="0">
      <selection activeCell="C23" sqref="C23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110" t="s">
        <v>112</v>
      </c>
      <c r="D1" s="111"/>
      <c r="E1" s="111"/>
      <c r="F1" s="111"/>
    </row>
    <row r="3" spans="2:12">
      <c r="C3" s="15" t="s">
        <v>15</v>
      </c>
      <c r="F3" s="14" t="s">
        <v>16</v>
      </c>
      <c r="I3" t="s">
        <v>79</v>
      </c>
    </row>
    <row r="4" spans="2:12">
      <c r="F4" s="14"/>
      <c r="I4" t="s">
        <v>78</v>
      </c>
      <c r="J4" s="17">
        <f>F8/C8</f>
        <v>0.39644457518438331</v>
      </c>
    </row>
    <row r="5" spans="2:12">
      <c r="B5" t="s">
        <v>17</v>
      </c>
      <c r="C5" s="16">
        <v>18176682.818805926</v>
      </c>
      <c r="D5" s="17">
        <f>C5/$C$8</f>
        <v>0.7470694724052418</v>
      </c>
      <c r="E5" s="17"/>
      <c r="F5" s="15">
        <v>5926682.0899999999</v>
      </c>
      <c r="G5" s="17">
        <f>F5/F8</f>
        <v>0.61443438805846462</v>
      </c>
      <c r="I5" t="s">
        <v>17</v>
      </c>
      <c r="J5" s="17">
        <f>F5/C5</f>
        <v>0.32605960884502794</v>
      </c>
    </row>
    <row r="6" spans="2:12">
      <c r="B6" t="s">
        <v>18</v>
      </c>
      <c r="C6" s="15">
        <v>6153963.1120000007</v>
      </c>
      <c r="D6" s="17">
        <f>C6/$C$8</f>
        <v>0.25293052759475826</v>
      </c>
      <c r="E6" s="17"/>
      <c r="F6" s="15">
        <v>3719070.5</v>
      </c>
      <c r="G6" s="17">
        <f>F6/F8</f>
        <v>0.38556561194153538</v>
      </c>
      <c r="I6" t="s">
        <v>18</v>
      </c>
      <c r="J6" s="17">
        <f>F6/C6</f>
        <v>0.60433747039333885</v>
      </c>
    </row>
    <row r="8" spans="2:12">
      <c r="B8" t="s">
        <v>5</v>
      </c>
      <c r="C8" s="15">
        <f>SUM(C5:C7)</f>
        <v>24330645.930805925</v>
      </c>
      <c r="F8" s="18">
        <f>SUM(F5:F7)</f>
        <v>9645752.5899999999</v>
      </c>
    </row>
    <row r="10" spans="2:12">
      <c r="C10" s="111" t="s">
        <v>109</v>
      </c>
      <c r="D10" s="111"/>
      <c r="E10" s="111"/>
      <c r="F10" s="111"/>
    </row>
    <row r="12" spans="2:12">
      <c r="C12" s="19" t="s">
        <v>110</v>
      </c>
      <c r="F12" s="20" t="s">
        <v>111</v>
      </c>
      <c r="I12" t="s">
        <v>80</v>
      </c>
    </row>
    <row r="13" spans="2:12">
      <c r="F13" s="14"/>
      <c r="I13" t="s">
        <v>78</v>
      </c>
      <c r="J13" s="17">
        <f>F17/C17-1</f>
        <v>0.67530287651150456</v>
      </c>
      <c r="L13" s="18"/>
    </row>
    <row r="14" spans="2:12">
      <c r="B14" t="s">
        <v>17</v>
      </c>
      <c r="C14" s="15">
        <v>3495262.31</v>
      </c>
      <c r="D14" s="17">
        <f>C14/C17</f>
        <v>0.60706750950422694</v>
      </c>
      <c r="E14" s="17"/>
      <c r="F14" s="15">
        <v>5926682.0899999999</v>
      </c>
      <c r="G14" s="17">
        <f>F14/F17</f>
        <v>0.61443438805846462</v>
      </c>
      <c r="I14" t="s">
        <v>17</v>
      </c>
      <c r="J14" s="17">
        <f>F14/C14-1</f>
        <v>0.69563299242053156</v>
      </c>
    </row>
    <row r="15" spans="2:12">
      <c r="B15" t="s">
        <v>18</v>
      </c>
      <c r="C15" s="15">
        <v>2262354.85</v>
      </c>
      <c r="D15" s="17">
        <f>C15/C17</f>
        <v>0.39293249049577311</v>
      </c>
      <c r="E15" s="17"/>
      <c r="F15" s="15">
        <v>3719070.5</v>
      </c>
      <c r="G15" s="17">
        <f>F15/F17</f>
        <v>0.38556561194153538</v>
      </c>
      <c r="I15" t="s">
        <v>18</v>
      </c>
      <c r="J15" s="17">
        <f>F15/C15-1</f>
        <v>0.64389352978822045</v>
      </c>
    </row>
    <row r="17" spans="2:10">
      <c r="B17" t="s">
        <v>5</v>
      </c>
      <c r="C17" s="15">
        <f>SUM(C14:C16)</f>
        <v>5757617.1600000001</v>
      </c>
      <c r="F17" s="18">
        <f>SUM(F14:F16)</f>
        <v>9645752.5899999999</v>
      </c>
    </row>
    <row r="19" spans="2:10">
      <c r="C19" s="111" t="s">
        <v>107</v>
      </c>
      <c r="D19" s="111"/>
      <c r="E19" s="111"/>
      <c r="F19" s="111"/>
    </row>
    <row r="21" spans="2:10">
      <c r="C21" s="19" t="s">
        <v>19</v>
      </c>
      <c r="F21" s="20" t="s">
        <v>20</v>
      </c>
      <c r="I21" t="s">
        <v>80</v>
      </c>
    </row>
    <row r="22" spans="2:10">
      <c r="F22" s="14"/>
      <c r="I22" t="s">
        <v>78</v>
      </c>
      <c r="J22" s="17">
        <f>F26/C26-1</f>
        <v>0.14412756618580391</v>
      </c>
    </row>
    <row r="23" spans="2:10">
      <c r="B23" t="s">
        <v>108</v>
      </c>
      <c r="C23" s="15">
        <v>45740209</v>
      </c>
      <c r="D23" s="17"/>
      <c r="E23" s="17"/>
      <c r="F23" s="101">
        <v>52332634</v>
      </c>
      <c r="G23" s="17"/>
      <c r="J23" s="17"/>
    </row>
    <row r="24" spans="2:10">
      <c r="D24" s="17"/>
      <c r="E24" s="17"/>
      <c r="F24" s="15"/>
      <c r="G24" s="17"/>
      <c r="J24" s="17"/>
    </row>
    <row r="26" spans="2:10">
      <c r="B26" t="s">
        <v>5</v>
      </c>
      <c r="C26" s="15">
        <f>SUM(C23:C25)</f>
        <v>45740209</v>
      </c>
      <c r="F26" s="18">
        <f>SUM(F23:F25)</f>
        <v>52332634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workbookViewId="0">
      <selection activeCell="C16" sqref="C16:C18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8" max="8" width="14.81640625" bestFit="1" customWidth="1"/>
  </cols>
  <sheetData>
    <row r="2" spans="2:8" ht="15" thickBot="1"/>
    <row r="3" spans="2:8" ht="21.5" thickBot="1">
      <c r="B3" s="21" t="s">
        <v>64</v>
      </c>
      <c r="C3" s="22"/>
      <c r="D3" s="23"/>
      <c r="E3" s="23"/>
    </row>
    <row r="4" spans="2:8" ht="19" thickBot="1">
      <c r="B4" s="24"/>
      <c r="C4" s="112" t="s">
        <v>65</v>
      </c>
      <c r="D4" s="113"/>
      <c r="E4" s="113"/>
    </row>
    <row r="5" spans="2:8" ht="15" thickBot="1">
      <c r="B5" s="25"/>
      <c r="C5" s="26"/>
      <c r="D5" s="27"/>
      <c r="E5" s="27"/>
    </row>
    <row r="6" spans="2:8" ht="15" thickBot="1">
      <c r="C6" s="29" t="s">
        <v>15</v>
      </c>
      <c r="D6" s="114" t="s">
        <v>22</v>
      </c>
      <c r="E6" s="114"/>
      <c r="F6" s="114"/>
      <c r="G6" s="114"/>
      <c r="H6" s="29" t="s">
        <v>96</v>
      </c>
    </row>
    <row r="7" spans="2:8" ht="16.5" thickBot="1">
      <c r="B7" s="28" t="s">
        <v>21</v>
      </c>
      <c r="C7" s="32"/>
      <c r="D7" s="34" t="s">
        <v>92</v>
      </c>
      <c r="E7" s="34" t="s">
        <v>93</v>
      </c>
      <c r="F7" s="34" t="s">
        <v>94</v>
      </c>
      <c r="G7" s="34" t="s">
        <v>95</v>
      </c>
    </row>
    <row r="8" spans="2:8">
      <c r="B8" s="31" t="s">
        <v>24</v>
      </c>
      <c r="C8" s="32">
        <f>Inflow!C30</f>
        <v>12185400</v>
      </c>
      <c r="D8" s="33">
        <f>Inflow!E30</f>
        <v>0</v>
      </c>
      <c r="E8" s="33"/>
      <c r="H8" s="18">
        <f>C8-D8</f>
        <v>12185400</v>
      </c>
    </row>
    <row r="9" spans="2:8">
      <c r="B9" s="31" t="s">
        <v>25</v>
      </c>
      <c r="C9" s="32">
        <f>Inflow!C33</f>
        <v>13000000</v>
      </c>
      <c r="D9" s="32">
        <f>Inflow!E33</f>
        <v>355520</v>
      </c>
      <c r="E9" s="32"/>
      <c r="H9" s="18">
        <f t="shared" ref="H9:H10" si="0">C9-D9</f>
        <v>12644480</v>
      </c>
    </row>
    <row r="10" spans="2:8">
      <c r="B10" s="31" t="s">
        <v>29</v>
      </c>
      <c r="C10" s="32">
        <f>Inflow!C35</f>
        <v>500000</v>
      </c>
      <c r="D10" s="32">
        <f>Inflow!E35</f>
        <v>0</v>
      </c>
      <c r="E10" s="32"/>
      <c r="H10" s="18">
        <f t="shared" si="0"/>
        <v>500000</v>
      </c>
    </row>
    <row r="11" spans="2:8" ht="15" thickBot="1">
      <c r="B11" s="31" t="s">
        <v>58</v>
      </c>
      <c r="C11" s="65">
        <f t="shared" ref="C11:H11" si="1">SUM(C8:C10)</f>
        <v>25685400</v>
      </c>
      <c r="D11" s="65">
        <f t="shared" si="1"/>
        <v>355520</v>
      </c>
      <c r="E11" s="65">
        <f t="shared" si="1"/>
        <v>0</v>
      </c>
      <c r="F11" s="65">
        <f t="shared" si="1"/>
        <v>0</v>
      </c>
      <c r="G11" s="65">
        <f t="shared" si="1"/>
        <v>0</v>
      </c>
      <c r="H11" s="65">
        <f t="shared" si="1"/>
        <v>25329880</v>
      </c>
    </row>
    <row r="12" spans="2:8" ht="16.5" thickBot="1">
      <c r="B12" s="28" t="s">
        <v>26</v>
      </c>
      <c r="C12" s="32"/>
      <c r="D12" s="34"/>
      <c r="E12" s="34"/>
      <c r="H12" s="15">
        <v>19500000</v>
      </c>
    </row>
    <row r="13" spans="2:8">
      <c r="B13" s="31"/>
      <c r="C13" s="32"/>
      <c r="D13" s="34"/>
      <c r="E13" s="34"/>
    </row>
    <row r="14" spans="2:8" ht="15" thickBot="1">
      <c r="B14" s="42"/>
      <c r="C14" s="32"/>
      <c r="D14" s="34"/>
      <c r="E14" s="34"/>
    </row>
    <row r="15" spans="2:8" ht="15" thickBot="1">
      <c r="B15" s="31" t="s">
        <v>27</v>
      </c>
      <c r="C15" s="32"/>
      <c r="D15" s="34"/>
      <c r="E15" s="34"/>
      <c r="H15" s="98">
        <f>SUM(C16:C18)</f>
        <v>6263152</v>
      </c>
    </row>
    <row r="16" spans="2:8" ht="15" thickBot="1">
      <c r="B16" s="40" t="s">
        <v>31</v>
      </c>
      <c r="C16" s="96">
        <v>5317640</v>
      </c>
    </row>
    <row r="17" spans="2:8" ht="15" thickBot="1">
      <c r="B17" s="40" t="s">
        <v>30</v>
      </c>
      <c r="C17" s="96">
        <v>56251</v>
      </c>
    </row>
    <row r="18" spans="2:8" ht="15" thickBot="1">
      <c r="B18" s="40" t="s">
        <v>32</v>
      </c>
      <c r="C18" s="97">
        <v>889261</v>
      </c>
    </row>
    <row r="20" spans="2:8">
      <c r="B20" s="35" t="s">
        <v>82</v>
      </c>
      <c r="H20" s="98">
        <f>H11+H15-H12</f>
        <v>12093032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3" workbookViewId="0">
      <selection activeCell="B17" sqref="B17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1" t="s">
        <v>70</v>
      </c>
      <c r="C4" s="22"/>
      <c r="D4" s="54"/>
      <c r="E4" s="23"/>
      <c r="F4" s="23"/>
      <c r="G4" s="23"/>
      <c r="H4" s="23"/>
      <c r="I4" s="23"/>
    </row>
    <row r="5" spans="2:10" ht="19" thickBot="1">
      <c r="B5" s="24"/>
      <c r="C5" s="112" t="s">
        <v>113</v>
      </c>
      <c r="D5" s="113"/>
      <c r="E5" s="113"/>
      <c r="F5" s="113"/>
      <c r="G5" s="63"/>
      <c r="H5" s="63"/>
      <c r="I5" s="63"/>
    </row>
    <row r="6" spans="2:10" ht="15" thickBot="1">
      <c r="B6" s="25"/>
      <c r="C6" s="26"/>
      <c r="D6" s="26"/>
      <c r="E6" s="115" t="s">
        <v>57</v>
      </c>
      <c r="F6" s="115"/>
      <c r="G6" s="115"/>
      <c r="H6" s="64"/>
      <c r="I6" s="64"/>
      <c r="J6" s="64"/>
    </row>
    <row r="7" spans="2:10" ht="38" customHeight="1" thickBot="1">
      <c r="B7" s="28" t="s">
        <v>21</v>
      </c>
      <c r="C7" s="29" t="s">
        <v>15</v>
      </c>
      <c r="D7" s="29"/>
      <c r="E7" s="30" t="s">
        <v>22</v>
      </c>
      <c r="F7" s="30"/>
      <c r="G7" s="30"/>
      <c r="H7" s="30"/>
      <c r="I7" s="43" t="s">
        <v>23</v>
      </c>
      <c r="J7" s="43" t="s">
        <v>58</v>
      </c>
    </row>
    <row r="8" spans="2:10">
      <c r="B8" s="36" t="s">
        <v>60</v>
      </c>
      <c r="C8" s="37"/>
      <c r="D8" s="37"/>
      <c r="E8" s="38" t="s">
        <v>92</v>
      </c>
      <c r="F8" s="38" t="s">
        <v>93</v>
      </c>
      <c r="G8" s="38" t="s">
        <v>94</v>
      </c>
      <c r="H8" s="38" t="s">
        <v>95</v>
      </c>
      <c r="I8" s="38"/>
    </row>
    <row r="9" spans="2:10">
      <c r="B9" s="36" t="s">
        <v>28</v>
      </c>
      <c r="C9" s="37"/>
      <c r="D9" s="37"/>
      <c r="E9" s="38"/>
      <c r="F9" s="38"/>
      <c r="G9" s="38"/>
      <c r="H9" s="38"/>
      <c r="I9" s="38"/>
    </row>
    <row r="10" spans="2:10">
      <c r="B10" s="49" t="s">
        <v>100</v>
      </c>
      <c r="C10" s="51">
        <v>1800000</v>
      </c>
      <c r="D10" s="37"/>
      <c r="E10" s="46"/>
      <c r="F10" s="83"/>
      <c r="G10" s="83"/>
      <c r="H10" s="83"/>
      <c r="I10" s="38">
        <f>C10-E10</f>
        <v>1800000</v>
      </c>
    </row>
    <row r="11" spans="2:10">
      <c r="B11" s="49" t="s">
        <v>101</v>
      </c>
      <c r="C11" s="52">
        <v>500000</v>
      </c>
      <c r="D11" s="37"/>
      <c r="E11" s="46"/>
      <c r="F11" s="83"/>
      <c r="G11" s="83"/>
      <c r="H11" s="83"/>
      <c r="I11" s="38">
        <f t="shared" ref="I11:I30" si="0">C11-E11</f>
        <v>500000</v>
      </c>
    </row>
    <row r="12" spans="2:10">
      <c r="B12" s="90" t="s">
        <v>102</v>
      </c>
      <c r="C12" s="53">
        <v>1000000</v>
      </c>
      <c r="D12" s="37"/>
      <c r="E12" s="47"/>
      <c r="F12" s="83"/>
      <c r="G12" s="83"/>
      <c r="H12" s="83"/>
      <c r="I12" s="38">
        <f t="shared" si="0"/>
        <v>1000000</v>
      </c>
    </row>
    <row r="13" spans="2:10">
      <c r="B13" s="90" t="s">
        <v>103</v>
      </c>
      <c r="C13" s="51">
        <v>750000</v>
      </c>
      <c r="D13" s="37"/>
      <c r="E13" s="47"/>
      <c r="F13" s="83"/>
      <c r="G13" s="83"/>
      <c r="H13" s="83"/>
      <c r="I13" s="38">
        <f t="shared" si="0"/>
        <v>750000</v>
      </c>
    </row>
    <row r="14" spans="2:10">
      <c r="B14" s="49" t="s">
        <v>104</v>
      </c>
      <c r="C14" s="52">
        <v>825000</v>
      </c>
      <c r="D14" s="37"/>
      <c r="E14" s="38"/>
      <c r="F14" s="38"/>
      <c r="G14" s="38"/>
      <c r="H14" s="38"/>
      <c r="I14" s="38">
        <f t="shared" si="0"/>
        <v>825000</v>
      </c>
    </row>
    <row r="15" spans="2:10">
      <c r="B15" s="45" t="s">
        <v>51</v>
      </c>
      <c r="C15" s="53">
        <v>680400</v>
      </c>
      <c r="D15" s="37"/>
      <c r="E15" s="38"/>
      <c r="F15" s="38"/>
      <c r="G15" s="38"/>
      <c r="H15" s="38"/>
      <c r="I15" s="38">
        <f t="shared" si="0"/>
        <v>680400</v>
      </c>
    </row>
    <row r="16" spans="2:10">
      <c r="B16" s="44" t="s">
        <v>52</v>
      </c>
      <c r="C16" s="51">
        <v>1080000</v>
      </c>
      <c r="D16" s="37"/>
      <c r="E16" s="38"/>
      <c r="F16" s="38"/>
      <c r="G16" s="38"/>
      <c r="H16" s="38"/>
      <c r="I16" s="38">
        <f t="shared" si="0"/>
        <v>1080000</v>
      </c>
    </row>
    <row r="17" spans="2:10">
      <c r="I17" s="38">
        <f t="shared" si="0"/>
        <v>0</v>
      </c>
    </row>
    <row r="18" spans="2:10">
      <c r="B18" s="50" t="s">
        <v>55</v>
      </c>
      <c r="C18" s="53">
        <v>5000000</v>
      </c>
      <c r="D18" s="52"/>
      <c r="E18" s="38"/>
      <c r="F18" s="38"/>
      <c r="G18" s="38"/>
      <c r="H18" s="38"/>
      <c r="I18" s="38">
        <f t="shared" si="0"/>
        <v>5000000</v>
      </c>
    </row>
    <row r="19" spans="2:10">
      <c r="I19" s="38">
        <f t="shared" si="0"/>
        <v>0</v>
      </c>
    </row>
    <row r="20" spans="2:10">
      <c r="B20" s="36" t="s">
        <v>53</v>
      </c>
      <c r="C20" s="37">
        <f t="shared" ref="C20" si="1">L20+N20</f>
        <v>0</v>
      </c>
      <c r="D20" s="37"/>
      <c r="E20" s="38"/>
      <c r="F20" s="38"/>
      <c r="G20" s="38"/>
      <c r="H20" s="38"/>
      <c r="I20" s="38">
        <f t="shared" si="0"/>
        <v>0</v>
      </c>
    </row>
    <row r="21" spans="2:10">
      <c r="B21" s="91" t="s">
        <v>54</v>
      </c>
      <c r="C21" s="91">
        <v>300000</v>
      </c>
      <c r="D21" s="37"/>
      <c r="E21" s="47"/>
      <c r="F21" s="83"/>
      <c r="G21" s="83"/>
      <c r="H21" s="83"/>
      <c r="I21" s="38">
        <f t="shared" si="0"/>
        <v>300000</v>
      </c>
    </row>
    <row r="22" spans="2:10">
      <c r="B22" s="91" t="s">
        <v>105</v>
      </c>
      <c r="C22" s="91">
        <v>150000</v>
      </c>
      <c r="D22" s="37"/>
      <c r="E22" s="47"/>
      <c r="F22" s="83"/>
      <c r="G22" s="83"/>
      <c r="H22" s="83"/>
      <c r="I22" s="38">
        <f t="shared" si="0"/>
        <v>150000</v>
      </c>
    </row>
    <row r="23" spans="2:10">
      <c r="B23" s="48"/>
      <c r="C23" s="53"/>
      <c r="D23" s="37"/>
      <c r="E23" s="47"/>
      <c r="F23" s="83"/>
      <c r="G23" s="83"/>
      <c r="H23" s="83"/>
      <c r="I23" s="38">
        <f t="shared" si="0"/>
        <v>0</v>
      </c>
    </row>
    <row r="24" spans="2:10">
      <c r="B24" s="45"/>
      <c r="C24" s="51"/>
      <c r="D24" s="37"/>
      <c r="E24" s="47"/>
      <c r="F24" s="83"/>
      <c r="G24" s="83"/>
      <c r="H24" s="83"/>
      <c r="I24" s="38">
        <f t="shared" si="0"/>
        <v>0</v>
      </c>
    </row>
    <row r="25" spans="2:10">
      <c r="B25" s="44"/>
      <c r="C25" s="52"/>
      <c r="D25" s="37"/>
      <c r="E25" s="46"/>
      <c r="F25" s="83"/>
      <c r="G25" s="83"/>
      <c r="H25" s="83"/>
      <c r="I25" s="38">
        <f t="shared" si="0"/>
        <v>0</v>
      </c>
    </row>
    <row r="26" spans="2:10">
      <c r="B26" s="49"/>
      <c r="C26" s="53"/>
      <c r="D26" s="37"/>
      <c r="E26" s="38"/>
      <c r="F26" s="38"/>
      <c r="G26" s="38"/>
      <c r="H26" s="38"/>
      <c r="I26" s="38">
        <f t="shared" si="0"/>
        <v>0</v>
      </c>
    </row>
    <row r="27" spans="2:10">
      <c r="B27" s="36"/>
      <c r="C27" s="37"/>
      <c r="D27" s="37"/>
      <c r="E27" s="38"/>
      <c r="F27" s="38"/>
      <c r="G27" s="38"/>
      <c r="H27" s="38"/>
      <c r="I27" s="38">
        <f t="shared" si="0"/>
        <v>0</v>
      </c>
    </row>
    <row r="28" spans="2:10">
      <c r="B28" s="36" t="s">
        <v>56</v>
      </c>
      <c r="C28" s="37">
        <v>100000</v>
      </c>
      <c r="D28" s="37"/>
      <c r="E28" s="37">
        <v>0</v>
      </c>
      <c r="F28" s="37"/>
      <c r="G28" s="37"/>
      <c r="H28" s="37"/>
      <c r="I28" s="38">
        <f t="shared" si="0"/>
        <v>100000</v>
      </c>
    </row>
    <row r="29" spans="2:10">
      <c r="B29" s="36"/>
      <c r="C29" s="37"/>
      <c r="D29" s="37"/>
      <c r="E29" s="37"/>
      <c r="F29" s="37"/>
      <c r="G29" s="37"/>
      <c r="H29" s="37"/>
      <c r="I29" s="38">
        <f t="shared" si="0"/>
        <v>0</v>
      </c>
    </row>
    <row r="30" spans="2:10">
      <c r="B30" s="36" t="s">
        <v>63</v>
      </c>
      <c r="C30" s="37">
        <f>SUM(C10:C28)</f>
        <v>12185400</v>
      </c>
      <c r="D30" s="37">
        <f t="shared" ref="D30:H30" si="2">SUM(D10:D28)</f>
        <v>0</v>
      </c>
      <c r="E30" s="37">
        <f t="shared" si="2"/>
        <v>0</v>
      </c>
      <c r="F30" s="37">
        <f t="shared" si="2"/>
        <v>0</v>
      </c>
      <c r="G30" s="37">
        <f t="shared" si="2"/>
        <v>0</v>
      </c>
      <c r="H30" s="37">
        <f t="shared" si="2"/>
        <v>0</v>
      </c>
      <c r="I30" s="38">
        <f t="shared" si="0"/>
        <v>12185400</v>
      </c>
      <c r="J30" s="18">
        <f>E30+I30</f>
        <v>12185400</v>
      </c>
    </row>
    <row r="31" spans="2:10">
      <c r="C31" s="37"/>
      <c r="D31" s="37"/>
      <c r="E31" s="38"/>
      <c r="F31" s="38"/>
      <c r="G31" s="38"/>
      <c r="H31" s="38"/>
      <c r="I31" s="38"/>
    </row>
    <row r="32" spans="2:10">
      <c r="B32" s="36"/>
      <c r="C32" s="37"/>
      <c r="D32" s="37"/>
      <c r="E32" s="38"/>
      <c r="F32" s="38"/>
      <c r="G32" s="38"/>
      <c r="H32" s="38"/>
      <c r="I32" s="38"/>
    </row>
    <row r="33" spans="2:10">
      <c r="B33" s="36" t="s">
        <v>61</v>
      </c>
      <c r="C33" s="93">
        <f>13000000</f>
        <v>13000000</v>
      </c>
      <c r="D33" s="55"/>
      <c r="E33" s="92">
        <v>355520</v>
      </c>
      <c r="F33" s="84"/>
      <c r="G33" s="84"/>
      <c r="H33" s="84"/>
      <c r="I33" s="39">
        <f>C33-E33</f>
        <v>12644480</v>
      </c>
      <c r="J33" s="18"/>
    </row>
    <row r="34" spans="2:10">
      <c r="B34" s="56"/>
      <c r="C34" s="55"/>
      <c r="D34" s="55"/>
      <c r="E34" s="37"/>
      <c r="F34" s="37"/>
      <c r="G34" s="37"/>
      <c r="H34" s="37"/>
      <c r="I34" s="39">
        <f t="shared" ref="I34:I35" si="3">C34-E34</f>
        <v>0</v>
      </c>
      <c r="J34" s="18"/>
    </row>
    <row r="35" spans="2:10">
      <c r="B35" s="56" t="s">
        <v>62</v>
      </c>
      <c r="C35" s="94">
        <v>500000</v>
      </c>
      <c r="D35" s="94"/>
      <c r="E35" s="95">
        <v>0</v>
      </c>
      <c r="F35" s="32"/>
      <c r="G35" s="32"/>
      <c r="H35" s="32"/>
      <c r="I35" s="39">
        <f t="shared" si="3"/>
        <v>500000</v>
      </c>
      <c r="J35" s="18">
        <f>SUM(E35:F35)</f>
        <v>0</v>
      </c>
    </row>
    <row r="36" spans="2:10">
      <c r="B36" s="56"/>
      <c r="C36" s="55"/>
      <c r="D36" s="55"/>
      <c r="E36" s="37"/>
      <c r="F36" s="37"/>
      <c r="G36" s="37"/>
      <c r="H36" s="37"/>
      <c r="I36" s="39"/>
      <c r="J36" s="18"/>
    </row>
    <row r="39" spans="2:10">
      <c r="B39" t="s">
        <v>59</v>
      </c>
      <c r="E39" s="18">
        <f>E35+E33+E30</f>
        <v>355520</v>
      </c>
      <c r="F39" s="18"/>
      <c r="G39" s="18"/>
      <c r="H39" s="18"/>
      <c r="I39" s="18">
        <f>I35+I33+I30</f>
        <v>25329880</v>
      </c>
      <c r="J39" s="18">
        <f>I39+E39</f>
        <v>25685400</v>
      </c>
    </row>
  </sheetData>
  <mergeCells count="2">
    <mergeCell ref="C5:F5"/>
    <mergeCell ref="E6:G6"/>
  </mergeCells>
  <phoneticPr fontId="6" type="noConversion"/>
  <conditionalFormatting sqref="B17">
    <cfRule type="colorScale" priority="483">
      <colorScale>
        <cfvo type="min"/>
        <cfvo type="max"/>
        <color rgb="FFFCFCFF"/>
        <color rgb="FF63BE7B"/>
      </colorScale>
    </cfRule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9"/>
    <cfRule type="duplicateValues" dxfId="473" priority="10"/>
    <cfRule type="duplicateValues" dxfId="472" priority="11"/>
    <cfRule type="duplicateValues" dxfId="471" priority="12"/>
    <cfRule type="duplicateValues" dxfId="470" priority="13"/>
    <cfRule type="duplicateValues" dxfId="469" priority="14"/>
    <cfRule type="duplicateValues" dxfId="468" priority="15"/>
    <cfRule type="duplicateValues" dxfId="467" priority="16"/>
    <cfRule type="duplicateValues" dxfId="466" priority="17"/>
    <cfRule type="duplicateValues" dxfId="465" priority="18"/>
    <cfRule type="duplicateValues" dxfId="464" priority="19"/>
    <cfRule type="duplicateValues" dxfId="463" priority="20"/>
    <cfRule type="duplicateValues" dxfId="462" priority="21"/>
    <cfRule type="duplicateValues" dxfId="461" priority="22"/>
    <cfRule type="duplicateValues" dxfId="460" priority="23"/>
    <cfRule type="duplicateValues" dxfId="459" priority="24"/>
    <cfRule type="duplicateValues" dxfId="458" priority="25"/>
    <cfRule type="duplicateValues" dxfId="457" priority="26"/>
    <cfRule type="duplicateValues" dxfId="456" priority="27"/>
    <cfRule type="duplicateValues" dxfId="455" priority="28"/>
    <cfRule type="duplicateValues" dxfId="454" priority="29"/>
    <cfRule type="duplicateValues" dxfId="453" priority="30"/>
    <cfRule type="duplicateValues" dxfId="452" priority="31"/>
    <cfRule type="duplicateValues" dxfId="451" priority="32"/>
    <cfRule type="duplicateValues" dxfId="450" priority="33"/>
    <cfRule type="duplicateValues" dxfId="449" priority="34"/>
    <cfRule type="duplicateValues" dxfId="448" priority="35"/>
    <cfRule type="duplicateValues" dxfId="447" priority="36"/>
    <cfRule type="duplicateValues" dxfId="446" priority="37"/>
    <cfRule type="duplicateValues" dxfId="445" priority="38"/>
    <cfRule type="duplicateValues" dxfId="444" priority="39"/>
    <cfRule type="duplicateValues" dxfId="443" priority="40"/>
    <cfRule type="duplicateValues" dxfId="442" priority="41"/>
    <cfRule type="duplicateValues" dxfId="441" priority="42"/>
    <cfRule type="duplicateValues" dxfId="440" priority="43"/>
    <cfRule type="duplicateValues" dxfId="439" priority="44"/>
    <cfRule type="duplicateValues" dxfId="438" priority="45"/>
    <cfRule type="duplicateValues" dxfId="437" priority="46"/>
    <cfRule type="duplicateValues" dxfId="436" priority="47"/>
    <cfRule type="duplicateValues" dxfId="435" priority="48"/>
    <cfRule type="duplicateValues" dxfId="434" priority="49"/>
    <cfRule type="duplicateValues" dxfId="433" priority="50"/>
    <cfRule type="duplicateValues" dxfId="432" priority="51"/>
    <cfRule type="duplicateValues" dxfId="431" priority="52"/>
    <cfRule type="duplicateValues" dxfId="430" priority="53"/>
    <cfRule type="duplicateValues" dxfId="429" priority="54"/>
    <cfRule type="duplicateValues" dxfId="428" priority="55"/>
    <cfRule type="duplicateValues" dxfId="427" priority="56"/>
    <cfRule type="duplicateValues" dxfId="426" priority="57"/>
    <cfRule type="duplicateValues" dxfId="425" priority="58"/>
    <cfRule type="duplicateValues" dxfId="424" priority="59"/>
    <cfRule type="duplicateValues" dxfId="423" priority="60"/>
    <cfRule type="duplicateValues" dxfId="422" priority="61"/>
    <cfRule type="duplicateValues" dxfId="421" priority="62"/>
    <cfRule type="duplicateValues" dxfId="420" priority="63"/>
    <cfRule type="duplicateValues" dxfId="419" priority="64"/>
    <cfRule type="duplicateValues" dxfId="418" priority="65"/>
    <cfRule type="duplicateValues" dxfId="417" priority="66"/>
    <cfRule type="duplicateValues" dxfId="416" priority="67"/>
    <cfRule type="duplicateValues" dxfId="415" priority="68"/>
    <cfRule type="duplicateValues" dxfId="414" priority="69"/>
    <cfRule type="duplicateValues" dxfId="413" priority="70"/>
    <cfRule type="duplicateValues" dxfId="412" priority="71"/>
    <cfRule type="duplicateValues" dxfId="411" priority="72"/>
    <cfRule type="duplicateValues" dxfId="410" priority="73"/>
    <cfRule type="duplicateValues" dxfId="409" priority="74"/>
    <cfRule type="duplicateValues" dxfId="408" priority="75"/>
    <cfRule type="duplicateValues" dxfId="407" priority="76"/>
    <cfRule type="duplicateValues" dxfId="406" priority="77"/>
    <cfRule type="duplicateValues" dxfId="405" priority="78"/>
    <cfRule type="duplicateValues" dxfId="404" priority="79"/>
    <cfRule type="duplicateValues" dxfId="403" priority="80"/>
    <cfRule type="duplicateValues" dxfId="402" priority="81"/>
    <cfRule type="duplicateValues" dxfId="401" priority="82"/>
    <cfRule type="duplicateValues" dxfId="400" priority="83"/>
    <cfRule type="duplicateValues" dxfId="399" priority="84"/>
    <cfRule type="duplicateValues" dxfId="398" priority="85"/>
    <cfRule type="duplicateValues" dxfId="397" priority="86"/>
    <cfRule type="duplicateValues" dxfId="396" priority="87"/>
    <cfRule type="duplicateValues" dxfId="395" priority="88"/>
    <cfRule type="duplicateValues" dxfId="394" priority="89"/>
    <cfRule type="duplicateValues" dxfId="393" priority="90"/>
    <cfRule type="duplicateValues" dxfId="392" priority="91"/>
    <cfRule type="duplicateValues" dxfId="391" priority="92"/>
    <cfRule type="duplicateValues" dxfId="390" priority="93"/>
    <cfRule type="duplicateValues" dxfId="389" priority="94"/>
    <cfRule type="duplicateValues" dxfId="388" priority="95"/>
    <cfRule type="duplicateValues" dxfId="387" priority="96"/>
    <cfRule type="duplicateValues" dxfId="386" priority="97"/>
    <cfRule type="duplicateValues" dxfId="385" priority="98"/>
    <cfRule type="duplicateValues" dxfId="384" priority="99"/>
    <cfRule type="duplicateValues" dxfId="383" priority="100"/>
    <cfRule type="duplicateValues" dxfId="382" priority="101"/>
    <cfRule type="duplicateValues" dxfId="381" priority="102"/>
    <cfRule type="duplicateValues" dxfId="380" priority="103"/>
    <cfRule type="duplicateValues" dxfId="379" priority="104"/>
    <cfRule type="duplicateValues" dxfId="378" priority="105"/>
    <cfRule type="duplicateValues" dxfId="377" priority="106"/>
    <cfRule type="duplicateValues" dxfId="376" priority="107"/>
    <cfRule type="duplicateValues" dxfId="375" priority="108"/>
    <cfRule type="duplicateValues" dxfId="374" priority="109"/>
    <cfRule type="duplicateValues" dxfId="373" priority="110"/>
    <cfRule type="duplicateValues" dxfId="372" priority="111"/>
    <cfRule type="duplicateValues" dxfId="371" priority="112"/>
    <cfRule type="duplicateValues" dxfId="370" priority="113"/>
    <cfRule type="duplicateValues" dxfId="369" priority="114"/>
    <cfRule type="duplicateValues" dxfId="368" priority="115"/>
    <cfRule type="duplicateValues" dxfId="367" priority="116"/>
    <cfRule type="duplicateValues" dxfId="366" priority="117"/>
    <cfRule type="duplicateValues" dxfId="365" priority="118"/>
    <cfRule type="duplicateValues" dxfId="364" priority="119"/>
    <cfRule type="duplicateValues" dxfId="363" priority="120"/>
    <cfRule type="duplicateValues" dxfId="362" priority="121"/>
    <cfRule type="duplicateValues" dxfId="361" priority="122"/>
    <cfRule type="duplicateValues" dxfId="360" priority="123"/>
    <cfRule type="duplicateValues" dxfId="359" priority="124"/>
    <cfRule type="duplicateValues" dxfId="358" priority="125"/>
    <cfRule type="duplicateValues" dxfId="357" priority="126"/>
    <cfRule type="duplicateValues" dxfId="356" priority="127"/>
    <cfRule type="duplicateValues" dxfId="355" priority="128"/>
    <cfRule type="duplicateValues" dxfId="354" priority="129"/>
    <cfRule type="duplicateValues" dxfId="353" priority="130"/>
    <cfRule type="duplicateValues" dxfId="352" priority="131"/>
    <cfRule type="duplicateValues" dxfId="351" priority="132"/>
    <cfRule type="duplicateValues" dxfId="350" priority="133"/>
    <cfRule type="duplicateValues" dxfId="349" priority="134"/>
    <cfRule type="duplicateValues" dxfId="348" priority="135"/>
    <cfRule type="duplicateValues" dxfId="347" priority="136"/>
    <cfRule type="duplicateValues" dxfId="346" priority="137"/>
    <cfRule type="duplicateValues" dxfId="345" priority="138"/>
    <cfRule type="duplicateValues" dxfId="344" priority="139"/>
    <cfRule type="duplicateValues" dxfId="343" priority="140"/>
    <cfRule type="duplicateValues" dxfId="342" priority="141"/>
    <cfRule type="duplicateValues" dxfId="341" priority="142"/>
    <cfRule type="duplicateValues" dxfId="340" priority="143"/>
    <cfRule type="duplicateValues" dxfId="339" priority="144"/>
    <cfRule type="duplicateValues" dxfId="338" priority="145"/>
    <cfRule type="duplicateValues" dxfId="337" priority="146"/>
    <cfRule type="duplicateValues" dxfId="336" priority="147"/>
    <cfRule type="duplicateValues" dxfId="335" priority="148"/>
    <cfRule type="duplicateValues" dxfId="334" priority="149"/>
    <cfRule type="duplicateValues" dxfId="333" priority="150"/>
    <cfRule type="duplicateValues" dxfId="332" priority="151"/>
    <cfRule type="duplicateValues" dxfId="331" priority="152"/>
    <cfRule type="duplicateValues" dxfId="330" priority="153"/>
    <cfRule type="duplicateValues" dxfId="329" priority="154"/>
    <cfRule type="duplicateValues" dxfId="328" priority="155"/>
    <cfRule type="duplicateValues" dxfId="327" priority="156"/>
    <cfRule type="duplicateValues" dxfId="326" priority="157"/>
    <cfRule type="duplicateValues" dxfId="325" priority="158"/>
    <cfRule type="duplicateValues" dxfId="324" priority="159"/>
    <cfRule type="duplicateValues" dxfId="323" priority="160"/>
    <cfRule type="duplicateValues" dxfId="322" priority="161"/>
    <cfRule type="duplicateValues" dxfId="321" priority="162"/>
    <cfRule type="duplicateValues" dxfId="320" priority="163"/>
    <cfRule type="duplicateValues" dxfId="319" priority="164"/>
    <cfRule type="duplicateValues" dxfId="318" priority="165"/>
    <cfRule type="duplicateValues" dxfId="317" priority="166"/>
    <cfRule type="duplicateValues" dxfId="316" priority="167"/>
    <cfRule type="duplicateValues" dxfId="315" priority="168"/>
    <cfRule type="duplicateValues" dxfId="314" priority="169"/>
    <cfRule type="duplicateValues" dxfId="313" priority="170"/>
    <cfRule type="duplicateValues" dxfId="312" priority="171"/>
    <cfRule type="duplicateValues" dxfId="311" priority="172"/>
    <cfRule type="duplicateValues" dxfId="310" priority="173"/>
    <cfRule type="duplicateValues" dxfId="309" priority="174"/>
    <cfRule type="duplicateValues" dxfId="308" priority="175"/>
    <cfRule type="duplicateValues" dxfId="307" priority="176"/>
    <cfRule type="duplicateValues" dxfId="306" priority="177"/>
    <cfRule type="duplicateValues" dxfId="305" priority="178"/>
    <cfRule type="duplicateValues" dxfId="304" priority="179"/>
    <cfRule type="duplicateValues" dxfId="303" priority="180"/>
    <cfRule type="duplicateValues" dxfId="302" priority="181"/>
    <cfRule type="duplicateValues" dxfId="301" priority="182"/>
    <cfRule type="duplicateValues" dxfId="300" priority="183"/>
    <cfRule type="duplicateValues" dxfId="299" priority="184"/>
    <cfRule type="duplicateValues" dxfId="298" priority="185"/>
    <cfRule type="duplicateValues" dxfId="297" priority="186"/>
    <cfRule type="duplicateValues" dxfId="296" priority="187"/>
    <cfRule type="duplicateValues" dxfId="295" priority="188"/>
    <cfRule type="duplicateValues" dxfId="294" priority="189"/>
    <cfRule type="duplicateValues" dxfId="293" priority="190"/>
    <cfRule type="duplicateValues" dxfId="292" priority="191"/>
    <cfRule type="duplicateValues" dxfId="291" priority="192"/>
    <cfRule type="duplicateValues" dxfId="290" priority="193"/>
    <cfRule type="duplicateValues" dxfId="289" priority="194"/>
    <cfRule type="duplicateValues" dxfId="288" priority="195"/>
    <cfRule type="duplicateValues" dxfId="287" priority="196"/>
    <cfRule type="duplicateValues" dxfId="286" priority="197"/>
    <cfRule type="duplicateValues" dxfId="285" priority="198"/>
    <cfRule type="duplicateValues" dxfId="284" priority="199"/>
    <cfRule type="duplicateValues" dxfId="283" priority="200"/>
    <cfRule type="duplicateValues" dxfId="282" priority="201"/>
    <cfRule type="duplicateValues" dxfId="281" priority="202"/>
    <cfRule type="duplicateValues" dxfId="280" priority="203"/>
    <cfRule type="duplicateValues" dxfId="279" priority="204"/>
    <cfRule type="duplicateValues" dxfId="278" priority="205"/>
    <cfRule type="duplicateValues" dxfId="277" priority="206"/>
    <cfRule type="duplicateValues" dxfId="276" priority="207"/>
    <cfRule type="duplicateValues" dxfId="275" priority="208"/>
    <cfRule type="duplicateValues" dxfId="274" priority="209"/>
    <cfRule type="duplicateValues" dxfId="273" priority="210"/>
    <cfRule type="duplicateValues" dxfId="272" priority="211"/>
    <cfRule type="duplicateValues" dxfId="271" priority="212"/>
    <cfRule type="duplicateValues" dxfId="270" priority="213"/>
    <cfRule type="duplicateValues" dxfId="269" priority="214"/>
    <cfRule type="duplicateValues" dxfId="268" priority="215"/>
    <cfRule type="duplicateValues" dxfId="267" priority="216"/>
    <cfRule type="duplicateValues" dxfId="266" priority="217"/>
    <cfRule type="duplicateValues" dxfId="265" priority="218"/>
    <cfRule type="duplicateValues" dxfId="264" priority="219"/>
    <cfRule type="duplicateValues" dxfId="263" priority="220"/>
    <cfRule type="duplicateValues" dxfId="262" priority="221"/>
    <cfRule type="duplicateValues" dxfId="261" priority="222"/>
    <cfRule type="duplicateValues" dxfId="260" priority="223"/>
    <cfRule type="duplicateValues" dxfId="259" priority="224"/>
    <cfRule type="duplicateValues" dxfId="258" priority="225"/>
    <cfRule type="duplicateValues" dxfId="257" priority="226"/>
    <cfRule type="duplicateValues" dxfId="256" priority="227"/>
    <cfRule type="duplicateValues" dxfId="255" priority="228"/>
    <cfRule type="duplicateValues" dxfId="254" priority="229"/>
    <cfRule type="duplicateValues" dxfId="253" priority="230"/>
    <cfRule type="duplicateValues" dxfId="252" priority="231"/>
    <cfRule type="duplicateValues" dxfId="251" priority="232"/>
    <cfRule type="duplicateValues" dxfId="250" priority="233"/>
    <cfRule type="duplicateValues" dxfId="249" priority="234"/>
    <cfRule type="duplicateValues" dxfId="248" priority="235"/>
    <cfRule type="duplicateValues" dxfId="247" priority="236"/>
    <cfRule type="duplicateValues" dxfId="246" priority="237"/>
    <cfRule type="duplicateValues" dxfId="245" priority="238"/>
    <cfRule type="duplicateValues" dxfId="244" priority="239"/>
    <cfRule type="duplicateValues" dxfId="243" priority="240"/>
    <cfRule type="duplicateValues" dxfId="242" priority="241"/>
    <cfRule type="duplicateValues" dxfId="241" priority="242"/>
    <cfRule type="duplicateValues" dxfId="240" priority="243"/>
    <cfRule type="duplicateValues" dxfId="239" priority="244"/>
    <cfRule type="duplicateValues" dxfId="238" priority="245"/>
    <cfRule type="duplicateValues" dxfId="237" priority="246"/>
    <cfRule type="duplicateValues" dxfId="236" priority="247"/>
    <cfRule type="duplicateValues" dxfId="235" priority="248"/>
    <cfRule type="duplicateValues" dxfId="234" priority="249"/>
    <cfRule type="duplicateValues" dxfId="233" priority="250"/>
    <cfRule type="duplicateValues" dxfId="232" priority="251"/>
    <cfRule type="duplicateValues" dxfId="231" priority="252"/>
    <cfRule type="duplicateValues" dxfId="230" priority="253"/>
    <cfRule type="duplicateValues" dxfId="229" priority="254"/>
    <cfRule type="duplicateValues" dxfId="228" priority="255"/>
    <cfRule type="duplicateValues" dxfId="227" priority="256"/>
    <cfRule type="duplicateValues" dxfId="226" priority="257"/>
    <cfRule type="duplicateValues" dxfId="225" priority="258"/>
    <cfRule type="duplicateValues" dxfId="224" priority="259"/>
    <cfRule type="duplicateValues" dxfId="223" priority="260"/>
    <cfRule type="duplicateValues" dxfId="222" priority="261"/>
    <cfRule type="duplicateValues" dxfId="221" priority="262"/>
    <cfRule type="duplicateValues" dxfId="220" priority="263"/>
    <cfRule type="duplicateValues" dxfId="219" priority="264"/>
    <cfRule type="duplicateValues" dxfId="218" priority="265"/>
    <cfRule type="duplicateValues" dxfId="217" priority="266"/>
    <cfRule type="duplicateValues" dxfId="216" priority="267"/>
    <cfRule type="duplicateValues" dxfId="215" priority="268"/>
    <cfRule type="duplicateValues" dxfId="214" priority="269"/>
    <cfRule type="duplicateValues" dxfId="213" priority="270"/>
    <cfRule type="duplicateValues" dxfId="212" priority="271"/>
    <cfRule type="duplicateValues" dxfId="211" priority="272"/>
    <cfRule type="duplicateValues" dxfId="210" priority="273"/>
    <cfRule type="duplicateValues" dxfId="209" priority="274"/>
    <cfRule type="duplicateValues" dxfId="208" priority="275"/>
    <cfRule type="duplicateValues" dxfId="207" priority="276"/>
    <cfRule type="duplicateValues" dxfId="206" priority="277"/>
    <cfRule type="duplicateValues" dxfId="205" priority="278"/>
    <cfRule type="duplicateValues" dxfId="204" priority="279"/>
    <cfRule type="duplicateValues" dxfId="203" priority="280"/>
    <cfRule type="duplicateValues" dxfId="202" priority="281"/>
    <cfRule type="duplicateValues" dxfId="201" priority="282"/>
    <cfRule type="duplicateValues" dxfId="200" priority="283"/>
    <cfRule type="duplicateValues" dxfId="199" priority="284"/>
    <cfRule type="duplicateValues" dxfId="198" priority="285"/>
    <cfRule type="duplicateValues" dxfId="197" priority="286"/>
    <cfRule type="duplicateValues" dxfId="196" priority="287"/>
    <cfRule type="duplicateValues" dxfId="195" priority="288"/>
    <cfRule type="duplicateValues" dxfId="194" priority="289"/>
    <cfRule type="duplicateValues" dxfId="193" priority="290"/>
    <cfRule type="duplicateValues" dxfId="192" priority="291"/>
    <cfRule type="duplicateValues" dxfId="191" priority="292"/>
    <cfRule type="duplicateValues" dxfId="190" priority="293"/>
    <cfRule type="duplicateValues" dxfId="189" priority="294"/>
    <cfRule type="duplicateValues" dxfId="188" priority="295"/>
    <cfRule type="duplicateValues" dxfId="187" priority="296"/>
    <cfRule type="duplicateValues" dxfId="186" priority="297"/>
    <cfRule type="duplicateValues" dxfId="185" priority="298"/>
    <cfRule type="duplicateValues" dxfId="184" priority="299"/>
    <cfRule type="duplicateValues" dxfId="183" priority="300"/>
    <cfRule type="duplicateValues" dxfId="182" priority="301"/>
    <cfRule type="duplicateValues" dxfId="181" priority="302"/>
    <cfRule type="duplicateValues" dxfId="180" priority="303"/>
    <cfRule type="duplicateValues" dxfId="179" priority="304"/>
    <cfRule type="duplicateValues" dxfId="178" priority="305"/>
    <cfRule type="duplicateValues" dxfId="177" priority="306"/>
    <cfRule type="duplicateValues" dxfId="176" priority="307"/>
    <cfRule type="duplicateValues" dxfId="175" priority="308"/>
    <cfRule type="duplicateValues" dxfId="174" priority="309"/>
    <cfRule type="duplicateValues" dxfId="173" priority="310"/>
    <cfRule type="duplicateValues" dxfId="172" priority="311"/>
    <cfRule type="duplicateValues" dxfId="171" priority="312"/>
    <cfRule type="duplicateValues" dxfId="170" priority="313"/>
    <cfRule type="duplicateValues" dxfId="169" priority="314"/>
    <cfRule type="duplicateValues" dxfId="168" priority="315"/>
    <cfRule type="duplicateValues" dxfId="167" priority="316"/>
    <cfRule type="duplicateValues" dxfId="166" priority="317"/>
    <cfRule type="duplicateValues" dxfId="165" priority="318"/>
    <cfRule type="duplicateValues" dxfId="164" priority="319"/>
    <cfRule type="duplicateValues" dxfId="163" priority="320"/>
    <cfRule type="duplicateValues" dxfId="162" priority="321"/>
    <cfRule type="duplicateValues" dxfId="161" priority="322"/>
    <cfRule type="duplicateValues" dxfId="160" priority="323"/>
    <cfRule type="duplicateValues" dxfId="159" priority="324"/>
    <cfRule type="duplicateValues" dxfId="158" priority="325"/>
    <cfRule type="duplicateValues" dxfId="157" priority="326"/>
    <cfRule type="duplicateValues" dxfId="156" priority="327"/>
    <cfRule type="duplicateValues" dxfId="155" priority="328"/>
    <cfRule type="duplicateValues" dxfId="154" priority="329"/>
    <cfRule type="duplicateValues" dxfId="153" priority="330"/>
    <cfRule type="duplicateValues" dxfId="152" priority="331"/>
    <cfRule type="duplicateValues" dxfId="151" priority="332"/>
    <cfRule type="duplicateValues" dxfId="150" priority="333"/>
    <cfRule type="duplicateValues" dxfId="149" priority="334"/>
    <cfRule type="duplicateValues" dxfId="148" priority="335"/>
    <cfRule type="duplicateValues" dxfId="147" priority="336"/>
    <cfRule type="duplicateValues" dxfId="146" priority="337"/>
    <cfRule type="duplicateValues" dxfId="145" priority="338"/>
    <cfRule type="duplicateValues" dxfId="144" priority="339"/>
    <cfRule type="duplicateValues" dxfId="143" priority="340"/>
    <cfRule type="duplicateValues" dxfId="142" priority="341"/>
    <cfRule type="duplicateValues" dxfId="141" priority="342"/>
    <cfRule type="duplicateValues" dxfId="140" priority="343"/>
    <cfRule type="duplicateValues" dxfId="139" priority="344"/>
    <cfRule type="duplicateValues" dxfId="138" priority="345"/>
    <cfRule type="duplicateValues" dxfId="137" priority="346"/>
    <cfRule type="duplicateValues" dxfId="136" priority="347"/>
    <cfRule type="duplicateValues" dxfId="135" priority="348"/>
    <cfRule type="duplicateValues" dxfId="134" priority="349"/>
    <cfRule type="duplicateValues" dxfId="133" priority="350"/>
    <cfRule type="duplicateValues" dxfId="132" priority="351"/>
    <cfRule type="duplicateValues" dxfId="131" priority="352"/>
    <cfRule type="duplicateValues" dxfId="130" priority="353"/>
    <cfRule type="duplicateValues" dxfId="129" priority="354"/>
    <cfRule type="duplicateValues" dxfId="128" priority="355"/>
    <cfRule type="duplicateValues" dxfId="127" priority="356"/>
    <cfRule type="duplicateValues" dxfId="126" priority="357"/>
    <cfRule type="duplicateValues" dxfId="125" priority="358"/>
    <cfRule type="duplicateValues" dxfId="124" priority="359"/>
    <cfRule type="duplicateValues" dxfId="123" priority="360"/>
    <cfRule type="duplicateValues" dxfId="122" priority="361"/>
    <cfRule type="duplicateValues" dxfId="121" priority="362"/>
    <cfRule type="duplicateValues" dxfId="120" priority="1"/>
    <cfRule type="duplicateValues" dxfId="119" priority="364"/>
    <cfRule type="duplicateValues" dxfId="118" priority="365"/>
    <cfRule type="duplicateValues" dxfId="117" priority="366"/>
    <cfRule type="duplicateValues" dxfId="116" priority="367"/>
    <cfRule type="duplicateValues" dxfId="115" priority="368"/>
    <cfRule type="duplicateValues" dxfId="114" priority="369"/>
    <cfRule type="duplicateValues" dxfId="113" priority="370"/>
    <cfRule type="duplicateValues" dxfId="112" priority="371"/>
    <cfRule type="duplicateValues" dxfId="111" priority="372"/>
    <cfRule type="duplicateValues" dxfId="110" priority="373"/>
    <cfRule type="duplicateValues" dxfId="109" priority="374"/>
    <cfRule type="duplicateValues" dxfId="108" priority="375"/>
    <cfRule type="duplicateValues" dxfId="107" priority="376"/>
    <cfRule type="duplicateValues" dxfId="106" priority="377"/>
    <cfRule type="duplicateValues" dxfId="105" priority="378"/>
    <cfRule type="duplicateValues" dxfId="104" priority="379"/>
    <cfRule type="duplicateValues" dxfId="103" priority="380"/>
    <cfRule type="duplicateValues" dxfId="102" priority="381"/>
    <cfRule type="duplicateValues" dxfId="101" priority="382"/>
    <cfRule type="duplicateValues" dxfId="100" priority="383"/>
    <cfRule type="duplicateValues" dxfId="99" priority="384"/>
    <cfRule type="duplicateValues" dxfId="98" priority="385"/>
    <cfRule type="duplicateValues" dxfId="97" priority="386"/>
    <cfRule type="duplicateValues" dxfId="96" priority="387"/>
    <cfRule type="duplicateValues" dxfId="95" priority="388"/>
    <cfRule type="duplicateValues" dxfId="94" priority="389"/>
    <cfRule type="duplicateValues" dxfId="93" priority="390"/>
    <cfRule type="duplicateValues" dxfId="92" priority="391"/>
    <cfRule type="duplicateValues" dxfId="91" priority="392"/>
    <cfRule type="duplicateValues" dxfId="90" priority="393"/>
    <cfRule type="duplicateValues" dxfId="89" priority="394"/>
    <cfRule type="duplicateValues" dxfId="88" priority="395"/>
    <cfRule type="duplicateValues" dxfId="87" priority="396"/>
    <cfRule type="duplicateValues" dxfId="86" priority="397"/>
    <cfRule type="duplicateValues" dxfId="85" priority="398"/>
    <cfRule type="duplicateValues" dxfId="84" priority="399"/>
    <cfRule type="duplicateValues" dxfId="83" priority="400"/>
    <cfRule type="duplicateValues" dxfId="82" priority="401"/>
    <cfRule type="duplicateValues" dxfId="81" priority="402"/>
    <cfRule type="duplicateValues" dxfId="80" priority="403"/>
    <cfRule type="duplicateValues" dxfId="79" priority="404"/>
    <cfRule type="duplicateValues" dxfId="78" priority="405"/>
    <cfRule type="duplicateValues" dxfId="77" priority="406"/>
    <cfRule type="duplicateValues" dxfId="76" priority="407"/>
    <cfRule type="duplicateValues" dxfId="75" priority="408"/>
    <cfRule type="duplicateValues" dxfId="74" priority="409"/>
    <cfRule type="duplicateValues" dxfId="73" priority="410"/>
    <cfRule type="duplicateValues" dxfId="72" priority="411"/>
    <cfRule type="duplicateValues" dxfId="71" priority="412"/>
    <cfRule type="duplicateValues" dxfId="70" priority="413"/>
    <cfRule type="duplicateValues" dxfId="69" priority="414"/>
    <cfRule type="duplicateValues" dxfId="68" priority="415"/>
    <cfRule type="duplicateValues" dxfId="67" priority="416"/>
    <cfRule type="duplicateValues" dxfId="66" priority="417"/>
    <cfRule type="duplicateValues" dxfId="65" priority="418"/>
    <cfRule type="duplicateValues" dxfId="64" priority="419"/>
    <cfRule type="duplicateValues" dxfId="63" priority="420"/>
    <cfRule type="duplicateValues" dxfId="62" priority="421"/>
    <cfRule type="duplicateValues" dxfId="61" priority="422"/>
    <cfRule type="duplicateValues" dxfId="60" priority="363"/>
    <cfRule type="duplicateValues" dxfId="59" priority="424"/>
    <cfRule type="duplicateValues" dxfId="58" priority="425"/>
    <cfRule type="duplicateValues" dxfId="57" priority="426"/>
    <cfRule type="duplicateValues" dxfId="56" priority="427"/>
    <cfRule type="duplicateValues" dxfId="55" priority="428"/>
    <cfRule type="duplicateValues" dxfId="54" priority="429"/>
    <cfRule type="duplicateValues" dxfId="53" priority="430"/>
    <cfRule type="duplicateValues" dxfId="52" priority="431"/>
    <cfRule type="duplicateValues" dxfId="51" priority="432"/>
    <cfRule type="duplicateValues" dxfId="50" priority="433"/>
    <cfRule type="duplicateValues" dxfId="49" priority="434"/>
    <cfRule type="duplicateValues" dxfId="48" priority="435"/>
    <cfRule type="duplicateValues" dxfId="47" priority="436"/>
    <cfRule type="duplicateValues" dxfId="46" priority="437"/>
    <cfRule type="duplicateValues" dxfId="45" priority="438"/>
    <cfRule type="duplicateValues" dxfId="44" priority="439"/>
    <cfRule type="duplicateValues" dxfId="43" priority="440"/>
    <cfRule type="duplicateValues" dxfId="42" priority="441"/>
    <cfRule type="duplicateValues" dxfId="41" priority="442"/>
    <cfRule type="duplicateValues" dxfId="40" priority="443"/>
    <cfRule type="duplicateValues" dxfId="39" priority="444"/>
    <cfRule type="duplicateValues" dxfId="38" priority="445"/>
    <cfRule type="duplicateValues" dxfId="37" priority="446"/>
    <cfRule type="duplicateValues" dxfId="36" priority="447"/>
    <cfRule type="duplicateValues" dxfId="35" priority="448"/>
    <cfRule type="duplicateValues" dxfId="34" priority="449"/>
    <cfRule type="duplicateValues" dxfId="33" priority="450"/>
    <cfRule type="duplicateValues" dxfId="32" priority="451"/>
    <cfRule type="duplicateValues" dxfId="31" priority="452"/>
    <cfRule type="duplicateValues" dxfId="30" priority="453"/>
    <cfRule type="duplicateValues" dxfId="29" priority="454"/>
    <cfRule type="duplicateValues" dxfId="28" priority="455"/>
    <cfRule type="duplicateValues" dxfId="27" priority="456"/>
    <cfRule type="duplicateValues" dxfId="26" priority="457"/>
    <cfRule type="duplicateValues" dxfId="25" priority="458"/>
    <cfRule type="duplicateValues" dxfId="24" priority="459"/>
    <cfRule type="duplicateValues" dxfId="23" priority="460"/>
    <cfRule type="duplicateValues" dxfId="22" priority="461"/>
    <cfRule type="duplicateValues" dxfId="21" priority="462"/>
    <cfRule type="duplicateValues" dxfId="20" priority="463"/>
    <cfRule type="duplicateValues" dxfId="19" priority="464"/>
    <cfRule type="duplicateValues" dxfId="18" priority="465"/>
    <cfRule type="duplicateValues" dxfId="17" priority="466"/>
    <cfRule type="duplicateValues" dxfId="16" priority="467"/>
    <cfRule type="duplicateValues" dxfId="15" priority="468"/>
    <cfRule type="duplicateValues" dxfId="14" priority="469"/>
    <cfRule type="duplicateValues" dxfId="13" priority="470"/>
    <cfRule type="duplicateValues" dxfId="12" priority="471"/>
    <cfRule type="duplicateValues" dxfId="11" priority="472"/>
    <cfRule type="duplicateValues" dxfId="10" priority="473"/>
    <cfRule type="duplicateValues" dxfId="9" priority="474"/>
    <cfRule type="duplicateValues" dxfId="8" priority="475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42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41" t="s">
        <v>43</v>
      </c>
      <c r="G5" s="32"/>
      <c r="H5" s="34"/>
      <c r="I5" s="32">
        <v>10600000</v>
      </c>
      <c r="K5" s="41" t="s">
        <v>43</v>
      </c>
      <c r="L5" s="32"/>
      <c r="M5" s="34"/>
      <c r="N5" s="32">
        <v>11000000</v>
      </c>
    </row>
    <row r="6" spans="3:14">
      <c r="C6" t="s">
        <v>38</v>
      </c>
      <c r="D6" s="15">
        <v>200000</v>
      </c>
      <c r="F6" s="41" t="s">
        <v>47</v>
      </c>
      <c r="G6" s="32"/>
      <c r="H6" s="34"/>
      <c r="I6" s="32">
        <v>124266</v>
      </c>
      <c r="K6" s="41" t="s">
        <v>47</v>
      </c>
      <c r="L6" s="32"/>
      <c r="M6" s="34"/>
      <c r="N6" s="32">
        <v>124266</v>
      </c>
    </row>
    <row r="7" spans="3:14">
      <c r="C7" t="s">
        <v>34</v>
      </c>
      <c r="D7" s="15">
        <v>300000</v>
      </c>
      <c r="F7" s="41" t="s">
        <v>44</v>
      </c>
      <c r="G7" s="32"/>
      <c r="H7" s="34"/>
      <c r="I7" s="32">
        <v>500000</v>
      </c>
      <c r="K7" s="41" t="s">
        <v>44</v>
      </c>
      <c r="L7" s="32"/>
      <c r="M7" s="34"/>
      <c r="N7" s="32">
        <v>500000</v>
      </c>
    </row>
    <row r="8" spans="3:14">
      <c r="C8" t="s">
        <v>35</v>
      </c>
      <c r="D8" s="15">
        <f>350000*0</f>
        <v>0</v>
      </c>
      <c r="F8" s="41" t="s">
        <v>45</v>
      </c>
      <c r="G8" s="32"/>
      <c r="H8" s="34"/>
      <c r="I8" s="32">
        <v>500000</v>
      </c>
      <c r="K8" s="41" t="s">
        <v>45</v>
      </c>
      <c r="L8" s="32"/>
      <c r="M8" s="34"/>
      <c r="N8" s="32">
        <v>500000</v>
      </c>
    </row>
    <row r="9" spans="3:14">
      <c r="C9" t="s">
        <v>36</v>
      </c>
      <c r="D9" s="15">
        <v>350000</v>
      </c>
      <c r="F9" s="41" t="s">
        <v>46</v>
      </c>
      <c r="G9" s="32"/>
      <c r="H9" s="34"/>
      <c r="I9" s="32">
        <v>2000000</v>
      </c>
      <c r="K9" s="67" t="s">
        <v>83</v>
      </c>
      <c r="N9" s="32">
        <v>500000</v>
      </c>
    </row>
    <row r="10" spans="3:14">
      <c r="C10" t="s">
        <v>37</v>
      </c>
      <c r="D10" s="15"/>
      <c r="F10" s="41" t="s">
        <v>48</v>
      </c>
      <c r="G10" s="32"/>
      <c r="H10" s="34"/>
      <c r="I10" s="32">
        <v>916634.45</v>
      </c>
      <c r="K10" s="67" t="s">
        <v>84</v>
      </c>
      <c r="N10" s="32">
        <v>361000</v>
      </c>
    </row>
    <row r="11" spans="3:14">
      <c r="C11" t="s">
        <v>39</v>
      </c>
      <c r="D11" s="15"/>
      <c r="K11" s="67" t="s">
        <v>85</v>
      </c>
      <c r="N11" s="32">
        <v>500000</v>
      </c>
    </row>
    <row r="12" spans="3:14">
      <c r="C12" t="s">
        <v>40</v>
      </c>
      <c r="D12" s="15">
        <v>100000</v>
      </c>
      <c r="K12" s="67" t="s">
        <v>86</v>
      </c>
      <c r="N12" s="32">
        <v>200000</v>
      </c>
    </row>
    <row r="13" spans="3:14">
      <c r="C13" t="s">
        <v>41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42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2026-04-14T12:44:17Z</dcterms:modified>
</cp:coreProperties>
</file>