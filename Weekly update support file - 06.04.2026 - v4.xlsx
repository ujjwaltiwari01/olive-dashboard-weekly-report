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mc:AlternateContent xmlns:mc="http://schemas.openxmlformats.org/markup-compatibility/2006">
    <mc:Choice Requires="x15">
      <x15ac:absPath xmlns:x15ac="http://schemas.microsoft.com/office/spreadsheetml/2010/11/ac" url="D:\olive weekly report dashboard\"/>
    </mc:Choice>
  </mc:AlternateContent>
  <bookViews>
    <workbookView xWindow="-110" yWindow="-110" windowWidth="19420" windowHeight="11500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/>
</workbook>
</file>

<file path=xl/calcChain.xml><?xml version="1.0" encoding="utf-8"?>
<calcChain xmlns="http://schemas.openxmlformats.org/spreadsheetml/2006/main">
  <c i="5" l="1" r="J39"/>
  <c i="4" r="D9"/>
  <c r="C9"/>
  <c r="D8"/>
  <c i="5" r="D30"/>
  <c r="E30"/>
  <c r="I30"/>
  <c r="F30"/>
  <c r="G30"/>
  <c r="H3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i="4" r="C8"/>
  <c i="5" r="I34"/>
  <c r="I35"/>
  <c r="I33"/>
  <c r="C33"/>
  <c i="4" l="1" r="H15"/>
  <c i="2" r="E25"/>
  <c r="F25"/>
  <c r="G25"/>
  <c r="E26"/>
  <c r="F26"/>
  <c r="G26"/>
  <c r="D25"/>
  <c r="D26"/>
  <c r="H19"/>
  <c r="H20"/>
  <c r="H21"/>
  <c r="H22"/>
  <c r="H18"/>
  <c i="1" r="I24"/>
  <c r="I25"/>
  <c r="I23"/>
  <c r="P20"/>
  <c r="P19"/>
  <c r="C16"/>
  <c r="C15"/>
  <c r="C11"/>
  <c r="C10"/>
  <c r="C6"/>
  <c r="C5"/>
  <c r="R17"/>
  <c i="2" l="1" r="H26"/>
  <c r="H25"/>
  <c i="5" l="1" r="I10"/>
  <c i="4" r="F11"/>
  <c r="G11"/>
  <c r="H8"/>
  <c r="H9"/>
  <c r="D10"/>
  <c r="H10"/>
  <c l="1" r="H11"/>
  <c r="H20"/>
  <c r="D11"/>
  <c i="2" r="C26"/>
  <c r="C25"/>
  <c i="6" l="1" r="N13"/>
  <c l="1" r="D8"/>
  <c r="D16"/>
  <c i="3" r="J15"/>
  <c r="J14"/>
  <c r="J6"/>
  <c r="J5"/>
  <c i="4" r="E11"/>
  <c i="2" r="P11"/>
  <c r="C13"/>
  <c r="D13"/>
  <c r="E13"/>
  <c r="F13"/>
  <c r="G13"/>
  <c r="H13"/>
  <c r="I13"/>
  <c r="J13"/>
  <c r="K13"/>
  <c r="L13"/>
  <c r="M13"/>
  <c r="N13"/>
  <c r="O13"/>
  <c r="P6"/>
  <c r="C8"/>
  <c r="D8"/>
  <c r="E8"/>
  <c r="F8"/>
  <c r="G8"/>
  <c r="H8"/>
  <c r="I8"/>
  <c r="J8"/>
  <c r="K8"/>
  <c r="L8"/>
  <c r="M8"/>
  <c r="N8"/>
  <c r="O8"/>
  <c i="1" r="C18"/>
  <c r="D18"/>
  <c r="E18"/>
  <c r="F18"/>
  <c r="G18"/>
  <c r="H18"/>
  <c r="I18"/>
  <c r="J18"/>
  <c r="K18"/>
  <c r="L18"/>
  <c r="M18"/>
  <c r="N18"/>
  <c r="O18"/>
  <c r="C13"/>
  <c r="D13"/>
  <c r="E13"/>
  <c r="F13"/>
  <c r="G13"/>
  <c r="H13"/>
  <c r="I13"/>
  <c r="J13"/>
  <c r="K13"/>
  <c r="L13"/>
  <c r="M13"/>
  <c r="N13"/>
  <c r="O13"/>
  <c r="C8"/>
  <c r="D8"/>
  <c r="E8"/>
  <c r="F8"/>
  <c r="G8"/>
  <c r="H8"/>
  <c r="I8"/>
  <c r="J8"/>
  <c r="K8"/>
  <c r="L8"/>
  <c r="M8"/>
  <c r="N8"/>
  <c r="O8"/>
  <c i="6" r="I13"/>
  <c i="2" l="1" r="P8"/>
  <c r="P13"/>
  <c i="4" l="1" r="C10"/>
  <c r="C11"/>
  <c i="5" r="C20"/>
  <c i="1" r="D17"/>
  <c r="E17"/>
  <c r="F17"/>
  <c r="G17"/>
  <c r="H17"/>
  <c r="I17"/>
  <c r="J17"/>
  <c r="K17"/>
  <c r="L17"/>
  <c r="M17"/>
  <c r="N17"/>
  <c r="O17"/>
  <c r="C17"/>
  <c r="D12"/>
  <c r="E12"/>
  <c r="F12"/>
  <c r="G12"/>
  <c r="H12"/>
  <c r="I12"/>
  <c r="J12"/>
  <c r="K12"/>
  <c r="L12"/>
  <c r="M12"/>
  <c r="N12"/>
  <c r="O12"/>
  <c r="C12"/>
  <c r="D7"/>
  <c r="E7"/>
  <c r="F7"/>
  <c r="G7"/>
  <c r="H7"/>
  <c r="I7"/>
  <c r="J7"/>
  <c r="K7"/>
  <c r="L7"/>
  <c r="M7"/>
  <c r="N7"/>
  <c r="O7"/>
  <c r="C7"/>
  <c r="P18"/>
  <c r="P13"/>
  <c r="P8"/>
  <c i="2" r="P10"/>
  <c r="C12"/>
  <c r="D12"/>
  <c r="P5"/>
  <c r="C7"/>
  <c r="D7"/>
  <c i="5" r="E39"/>
  <c r="C30"/>
  <c r="I39"/>
  <c l="1" r="J30"/>
  <c i="3" r="F26"/>
  <c r="C26"/>
  <c r="C17"/>
  <c r="D15"/>
  <c r="F17"/>
  <c r="J13"/>
  <c r="G15"/>
  <c r="G14"/>
  <c r="F8"/>
  <c r="G6"/>
  <c r="C8"/>
  <c r="D6"/>
  <c i="2" r="E12"/>
  <c r="F12"/>
  <c r="G12"/>
  <c r="H12"/>
  <c r="I12"/>
  <c r="J12"/>
  <c r="K12"/>
  <c r="L12"/>
  <c r="M12"/>
  <c r="N12"/>
  <c r="O12"/>
  <c r="E7"/>
  <c r="F7"/>
  <c r="G7"/>
  <c r="H7"/>
  <c r="I7"/>
  <c r="J7"/>
  <c r="K7"/>
  <c r="L7"/>
  <c r="M7"/>
  <c r="N7"/>
  <c r="O7"/>
  <c r="P7"/>
  <c r="E3"/>
  <c r="F3"/>
  <c r="G3"/>
  <c r="H3"/>
  <c r="I3"/>
  <c r="J3"/>
  <c r="K3"/>
  <c r="L3"/>
  <c r="M3"/>
  <c r="N3"/>
  <c r="O3"/>
  <c i="1" r="P17"/>
  <c r="P12"/>
  <c r="E3"/>
  <c r="F3"/>
  <c r="G3"/>
  <c r="H3"/>
  <c r="I3"/>
  <c r="J3"/>
  <c r="K3"/>
  <c r="L3"/>
  <c r="M3"/>
  <c r="N3"/>
  <c r="O3"/>
  <c i="3" l="1" r="G5"/>
  <c r="J4"/>
  <c r="D14"/>
  <c r="J22"/>
  <c i="2" r="P12"/>
  <c i="3" r="D5"/>
  <c i="1" r="P7"/>
  <c i="5" r="J35"/>
</calcChain>
</file>

<file path=xl/comments1.xml><?xml version="1.0" encoding="utf-8"?>
<comments xmlns="http://schemas.openxmlformats.org/spreadsheetml/2006/main">
  <authors>
    <author>tc={2DF3315A-21F6-4465-8DD2-4F7B368BCDAD}</author>
    <author>tc={30996A56-F3B7-47CD-856D-28D39738B1D7}</author>
    <author>tc={914C6D32-E202-4ED0-9DF0-CA6D80882930}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7" authorId="2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comments2.xml><?xml version="1.0" encoding="utf-8"?>
<comments xmlns="http://schemas.openxmlformats.org/spreadsheetml/2006/main">
  <authors>
    <author>tc={CADE0C93-7C6B-4A65-9638-5BC952EBAF60}</author>
    <author>tc={93627DF0-F0EC-4D87-801B-760854F3EFE9}</author>
  </authors>
  <commentList>
    <comment ref="P7" authorId="0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  <comment ref="P12" authorId="1">
      <text>
        <r>
          <t xml:space="preserve">[Threaded comment]_x000A__x000A_Your version of Excel allows you to read this threaded comment; however, any edits to it will get removed if the file is opened in a newer version of Excel. Learn more: https://go.microsoft.com/fwlink/?linkid=870924_x000A__x000A_Comment:_x000A_    Control_x000A_</t>
        </r>
      </text>
    </comment>
  </commentList>
</comments>
</file>

<file path=xl/sharedStrings.xml><?xml version="1.0" encoding="utf-8"?>
<sst xmlns="http://schemas.openxmlformats.org/spreadsheetml/2006/main">
  <si>
    <t>Signings</t>
  </si>
  <si>
    <t>brought forward</t>
  </si>
  <si>
    <t>Total</t>
  </si>
  <si>
    <t>OLIVE</t>
  </si>
  <si>
    <t>Total Keys</t>
  </si>
  <si>
    <t>Total Properties</t>
  </si>
  <si>
    <t>Cumulative Properties</t>
  </si>
  <si>
    <t>Cumulative keys</t>
  </si>
  <si>
    <t>SPARK</t>
  </si>
  <si>
    <t>Cumulative</t>
  </si>
  <si>
    <t>OPEN</t>
  </si>
  <si>
    <t>Total properties</t>
  </si>
  <si>
    <t>Total keys</t>
  </si>
  <si>
    <t>April '26</t>
  </si>
  <si>
    <t>March '26</t>
  </si>
  <si>
    <t>Week 1</t>
  </si>
  <si>
    <t>Week 2</t>
  </si>
  <si>
    <t>Week 3</t>
  </si>
  <si>
    <t>Week 4</t>
  </si>
  <si>
    <t>Brands</t>
  </si>
  <si>
    <t>Open</t>
  </si>
  <si>
    <t>Olive</t>
  </si>
  <si>
    <t>Spark</t>
  </si>
  <si>
    <t>Portfolio Update:</t>
  </si>
  <si>
    <t>1. Spark Indore: A Letter of Intent (LOI) was executed on March 30th.</t>
  </si>
  <si>
    <t>2. Sadahalli, Bangalore: The property has been formally converted from the Olive brand to Spark.</t>
  </si>
  <si>
    <t>Operational</t>
  </si>
  <si>
    <t>brought forwrad</t>
  </si>
  <si>
    <t>Cumulative Keys</t>
  </si>
  <si>
    <t>March'26</t>
  </si>
  <si>
    <t>-Properties</t>
  </si>
  <si>
    <t>-Keys</t>
  </si>
  <si>
    <t>March '26 WIP</t>
  </si>
  <si>
    <t>Keys</t>
  </si>
  <si>
    <t>Target date</t>
  </si>
  <si>
    <t xml:space="preserve">Olive  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</si>
  <si>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</si>
  <si>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</si>
  <si>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</si>
  <si>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</si>
  <si>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</si>
  <si>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</si>
  <si>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April'26 - same period
26 same period
'26 - same period</t>
  </si>
  <si>
    <t>Target</t>
  </si>
  <si>
    <t>Actuals</t>
  </si>
  <si>
    <t>Achievement</t>
  </si>
  <si>
    <t>Overall</t>
  </si>
  <si>
    <t>Online</t>
  </si>
  <si>
    <t>Offline</t>
  </si>
  <si>
    <t>April'26 - same period</t>
  </si>
  <si>
    <t>April 25</t>
  </si>
  <si>
    <t>April 26</t>
  </si>
  <si>
    <t>YoY - growth</t>
  </si>
  <si>
    <t>March'26 - same store - stable properties</t>
  </si>
  <si>
    <t>March 25</t>
  </si>
  <si>
    <t>March 26</t>
  </si>
  <si>
    <t>Revenue</t>
  </si>
  <si>
    <t>Cashflow - Summary</t>
  </si>
  <si>
    <t>Received</t>
  </si>
  <si>
    <t>Expected</t>
  </si>
  <si>
    <t>Inflow</t>
  </si>
  <si>
    <t>W1</t>
  </si>
  <si>
    <t>W2</t>
  </si>
  <si>
    <t>W3</t>
  </si>
  <si>
    <t>W4</t>
  </si>
  <si>
    <t>TA fees</t>
  </si>
  <si>
    <t>Management fees</t>
  </si>
  <si>
    <t>Profit Incentive</t>
  </si>
  <si>
    <t xml:space="preserve">Total </t>
  </si>
  <si>
    <t>Outflow</t>
  </si>
  <si>
    <t>Current bank balance</t>
  </si>
  <si>
    <t>-Coliving Operations</t>
  </si>
  <si>
    <t>- Coliving</t>
  </si>
  <si>
    <t>-VARS</t>
  </si>
  <si>
    <t>Closing Cash - expected</t>
  </si>
  <si>
    <t>Cashflow - Breakdown</t>
  </si>
  <si>
    <t>March</t>
  </si>
  <si>
    <t>Collections</t>
  </si>
  <si>
    <t xml:space="preserve">Expected </t>
  </si>
  <si>
    <t>1. TA fees</t>
  </si>
  <si>
    <t>a) Spark</t>
  </si>
  <si>
    <t>Spark Ruby, Kolkata</t>
  </si>
  <si>
    <t>Spark Mussoriee</t>
  </si>
  <si>
    <t>Bengaluru - Spark - Sheshadripuram</t>
  </si>
  <si>
    <t>Chakan</t>
  </si>
  <si>
    <t>Spark Junagad</t>
  </si>
  <si>
    <t>Spark Saddahalli ft Nandan</t>
  </si>
  <si>
    <t>Tirumala Bypass Road, Tirupati</t>
  </si>
  <si>
    <t>REIT</t>
  </si>
  <si>
    <t>b) Olive</t>
  </si>
  <si>
    <t>Olive Jayadeva Hospital</t>
  </si>
  <si>
    <t xml:space="preserve"> Banjaara Hills</t>
  </si>
  <si>
    <t>c) Open set-up fees</t>
  </si>
  <si>
    <t>Total TA fees</t>
  </si>
  <si>
    <t>2. Management fees</t>
  </si>
  <si>
    <t>3. Profit Incentive</t>
  </si>
  <si>
    <t>Total Inflow</t>
  </si>
  <si>
    <t>Dairy circle</t>
  </si>
  <si>
    <t>-Salaries</t>
  </si>
  <si>
    <t>hitech</t>
  </si>
  <si>
    <t>-Car EMI</t>
  </si>
  <si>
    <t>kundahalli</t>
  </si>
  <si>
    <t>-EE reimbursements</t>
  </si>
  <si>
    <t>vijawada</t>
  </si>
  <si>
    <t>-medical insurance</t>
  </si>
  <si>
    <t>Vasanth nagar</t>
  </si>
  <si>
    <t>-OPC</t>
  </si>
  <si>
    <t>-Hisca</t>
  </si>
  <si>
    <t>Rajaji nahar</t>
  </si>
  <si>
    <t>-Rent</t>
  </si>
  <si>
    <t>-Zoho</t>
  </si>
  <si>
    <t>Domlur</t>
  </si>
  <si>
    <t>Travel agency</t>
  </si>
  <si>
    <t>Meera - Goa</t>
  </si>
  <si>
    <t>-Kingshuk</t>
  </si>
  <si>
    <t>Indiranagar</t>
  </si>
  <si>
    <t>Nivasa</t>
  </si>
</sst>
</file>

<file path=xl/styles.xml><?xml version="1.0" encoding="utf-8"?>
<styleSheet xmlns="http://schemas.openxmlformats.org/spreadsheetml/2006/main">
  <numFmts count="3">
    <numFmt numFmtId="165" formatCode="_ * #,##0_ ;_ * -#,##0_ ;_ * &quot;-&quot;??_ ;_ @_ "/>
    <numFmt numFmtId="166" formatCode="_(* #,##0_);_(* (#,##0);_(* &quot;-&quot;??_);_(@_)"/>
    <numFmt numFmtId="164" formatCode="_ * #,##0.00_ ;_ * -#,##0.00_ ;_ * &quot;-&quot;??_ ;_ @_ "/>
  </numFmts>
  <fonts count="18">
    <font>
      <sz val="11"/>
      <color theme="1"/>
      <name val="Aptos Narrow"/>
      <family val="2"/>
      <scheme val="minor"/>
    </font>
    <font>
      <sz val="2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Inherit"/>
    </font>
    <font>
      <sz val="12"/>
      <color rgb="FF000000"/>
      <name val="Aptos"/>
    </font>
    <font>
      <sz val="8"/>
      <color rgb="FF0F1115"/>
      <name val="Segoe UI"/>
    </font>
    <font>
      <b/>
      <sz val="16"/>
      <color indexed="9"/>
      <name val="Aptos Narrow"/>
      <scheme val="minor"/>
    </font>
    <font>
      <b/>
      <i/>
      <sz val="16"/>
      <color indexed="9"/>
      <name val="Aptos Narrow"/>
      <scheme val="minor"/>
    </font>
    <font>
      <b/>
      <sz val="12"/>
      <color indexed="9"/>
      <name val="Aptos Narrow"/>
      <scheme val="minor"/>
    </font>
    <font>
      <b/>
      <i/>
      <sz val="14"/>
      <color indexed="9"/>
      <name val="Aptos Narrow"/>
      <scheme val="minor"/>
    </font>
    <font>
      <b/>
      <sz val="11"/>
      <color indexed="8"/>
      <name val="Aptos Narrow"/>
      <scheme val="minor"/>
    </font>
    <font>
      <sz val="11"/>
      <color indexed="18"/>
      <name val="Aptos Narrow"/>
      <scheme val="minor"/>
    </font>
    <font>
      <b/>
      <i/>
      <sz val="10"/>
      <color indexed="9"/>
      <name val="Aptos Narrow"/>
      <scheme val="minor"/>
    </font>
    <font>
      <sz val="11"/>
      <color indexed="8"/>
      <name val="Aptos Narrow"/>
      <scheme val="minor"/>
    </font>
    <font>
      <sz val="11"/>
      <color rgb="FF000000"/>
      <name val="gopher"/>
    </font>
    <font>
      <sz val="11"/>
      <color theme="1"/>
      <name val="Aptos Narrow"/>
    </font>
    <font>
      <sz val="11"/>
      <color theme="1"/>
      <name val="gopher"/>
    </font>
    <font>
      <b/>
      <sz val="11"/>
      <color theme="1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rgb="FFFFFF00"/>
        <bgColor indexed="2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6" tint="0.799981688894314"/>
        <bgColor indexed="65"/>
      </patternFill>
    </fill>
  </fills>
  <borders count="34">
    <border/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bottom style="thin">
        <color theme="4" tint="0.399975585192419"/>
      </bottom>
    </border>
    <border>
      <left style="medium">
        <color indexed="64"/>
      </left>
      <top style="medium">
        <color indexed="64"/>
      </top>
      <bottom style="thin">
        <color rgb="FF000000"/>
      </bottom>
    </border>
    <border>
      <top style="medium">
        <color indexed="64"/>
      </top>
      <bottom style="thin">
        <color rgb="FF000000"/>
      </bottom>
    </border>
    <border>
      <right style="medium">
        <color indexed="64"/>
      </right>
      <top style="medium">
        <color indexed="6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indexed="64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indexed="64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indexed="64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indexed="64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</border>
    <border>
      <bottom style="medium">
        <color indexed="64"/>
      </bottom>
    </border>
    <border>
      <left style="medium">
        <color indexed="64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thin">
        <color rgb="FF000000"/>
      </right>
      <top style="medium">
        <color indexed="64"/>
      </top>
    </border>
    <border>
      <left style="thin">
        <color rgb="FF000000"/>
      </left>
      <right style="medium">
        <color indexed="64"/>
      </right>
      <top style="medium">
        <color indexed="64"/>
      </top>
    </border>
    <border>
      <right style="medium">
        <color indexed="64"/>
      </right>
    </border>
    <border>
      <left style="medium">
        <color indexed="64"/>
      </left>
    </border>
    <border>
      <left style="medium">
        <color indexed="64"/>
      </left>
      <bottom style="medium">
        <color indexed="64"/>
      </bottom>
    </border>
    <border>
      <right style="medium">
        <color indexed="64"/>
      </right>
      <bottom style="medium">
        <color indexed="64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</borders>
  <cellStyleXfs count="4">
    <xf numFmtId="0" fontId="0" fillId="0" borderId="0"/>
    <xf numFmtId="16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16" borderId="0" applyNumberFormat="0" applyBorder="0" applyAlignment="0" applyProtection="0"/>
  </cellStyleXfs>
  <cellXfs count="113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/>
    <xf numFmtId="0" fontId="2" fillId="2" borderId="0" xfId="0" applyFont="1" applyFill="1"/>
    <xf numFmtId="0" fontId="2" fillId="5" borderId="3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5" borderId="3" xfId="0" applyFont="1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2" fillId="6" borderId="3" xfId="0" applyFont="1" applyFill="1" applyBorder="1" applyAlignment="1">
      <alignment horizontal="center"/>
    </xf>
    <xf numFmtId="0" fontId="2" fillId="4" borderId="3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8" xfId="0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7" borderId="13" xfId="0" applyFont="1" applyFill="1" applyBorder="1" applyAlignment="1">
      <alignment vertical="center"/>
    </xf>
    <xf numFmtId="0" fontId="3" fillId="7" borderId="14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3" fillId="7" borderId="16" xfId="0" applyFont="1" applyFill="1" applyBorder="1" applyAlignment="1">
      <alignment vertical="center"/>
    </xf>
    <xf numFmtId="0" fontId="4" fillId="7" borderId="17" xfId="0" applyFont="1" applyFill="1" applyBorder="1" applyAlignment="1">
      <alignment horizontal="right" vertical="center"/>
    </xf>
    <xf numFmtId="0" fontId="4" fillId="7" borderId="18" xfId="0" applyFont="1" applyFill="1" applyBorder="1" applyAlignment="1">
      <alignment horizontal="right" vertical="center"/>
    </xf>
    <xf numFmtId="0" fontId="4" fillId="7" borderId="19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2" fillId="4" borderId="0" xfId="0" applyFont="1" applyFill="1"/>
    <xf numFmtId="0" fontId="0" fillId="0" borderId="20" xfId="0" applyBorder="1" applyAlignment="1">
      <alignment horizontal="center"/>
    </xf>
    <xf numFmtId="0" fontId="0" fillId="7" borderId="21" xfId="0" applyFill="1" applyBorder="1" applyAlignment="1">
      <alignment vertical="center"/>
    </xf>
    <xf numFmtId="0" fontId="3" fillId="7" borderId="22" xfId="0" applyFont="1" applyFill="1" applyBorder="1" applyAlignment="1">
      <alignment vertical="center"/>
    </xf>
    <xf numFmtId="0" fontId="3" fillId="7" borderId="23" xfId="0" applyFont="1" applyFill="1" applyBorder="1" applyAlignment="1">
      <alignment vertical="center"/>
    </xf>
    <xf numFmtId="0" fontId="3" fillId="7" borderId="18" xfId="0" applyFont="1" applyFill="1" applyBorder="1" applyAlignment="1">
      <alignment vertical="center"/>
    </xf>
    <xf numFmtId="0" fontId="0" fillId="0" borderId="24" xfId="0" applyBorder="1"/>
    <xf numFmtId="0" fontId="0" fillId="0" borderId="25" xfId="0" quotePrefix="1" applyBorder="1"/>
    <xf numFmtId="0" fontId="4" fillId="7" borderId="16" xfId="0" applyFont="1" applyFill="1" applyBorder="1" applyAlignment="1">
      <alignment horizontal="right" vertical="center"/>
    </xf>
    <xf numFmtId="0" fontId="0" fillId="0" borderId="25" xfId="0" applyBorder="1"/>
    <xf numFmtId="0" fontId="0" fillId="0" borderId="26" xfId="0" quotePrefix="1" applyBorder="1"/>
    <xf numFmtId="0" fontId="0" fillId="0" borderId="20" xfId="0" applyBorder="1"/>
    <xf numFmtId="0" fontId="0" fillId="0" borderId="27" xfId="0" applyBorder="1"/>
    <xf numFmtId="0" fontId="2" fillId="0" borderId="0" xfId="0" applyFont="1"/>
    <xf numFmtId="0" fontId="0" fillId="0" borderId="28" xfId="0" applyBorder="1"/>
    <xf numFmtId="0" fontId="0" fillId="4" borderId="2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/>
    </xf>
    <xf numFmtId="17" fontId="0" fillId="0" borderId="0" xfId="0" applyNumberFormat="1"/>
    <xf numFmtId="9" fontId="0" fillId="0" borderId="0" xfId="2" applyFont="1"/>
    <xf numFmtId="165" fontId="2" fillId="0" borderId="0" xfId="1" applyNumberFormat="1" applyFont="1" applyFill="1"/>
    <xf numFmtId="165" fontId="0" fillId="0" borderId="0" xfId="0" applyNumberFormat="1"/>
    <xf numFmtId="165" fontId="0" fillId="0" borderId="0" xfId="1" quotePrefix="1" applyNumberFormat="1" applyFont="1"/>
    <xf numFmtId="17" fontId="0" fillId="0" borderId="0" xfId="0" quotePrefix="1" applyNumberFormat="1"/>
    <xf numFmtId="3" fontId="2" fillId="0" borderId="0" xfId="0" applyNumberFormat="1" applyFont="1" applyAlignment="1">
      <alignment horizontal="center"/>
    </xf>
    <xf numFmtId="0" fontId="6" fillId="8" borderId="29" xfId="0" applyFont="1" applyFill="1" applyBorder="1" applyAlignment="1">
      <alignment horizontal="centerContinuous"/>
    </xf>
    <xf numFmtId="165" fontId="7" fillId="8" borderId="30" xfId="1" applyNumberFormat="1" applyFont="1" applyFill="1" applyBorder="1" applyAlignment="1">
      <alignment horizontal="centerContinuous"/>
    </xf>
    <xf numFmtId="0" fontId="7" fillId="8" borderId="31" xfId="0" applyFont="1" applyFill="1" applyBorder="1" applyAlignment="1">
      <alignment horizontal="centerContinuous"/>
    </xf>
    <xf numFmtId="0" fontId="8" fillId="8" borderId="32" xfId="0" applyFont="1" applyFill="1" applyBorder="1" applyAlignment="1">
      <alignment horizontal="left"/>
    </xf>
    <xf numFmtId="165" fontId="9" fillId="8" borderId="30" xfId="1" applyNumberFormat="1" applyFont="1" applyFill="1" applyBorder="1" applyAlignment="1">
      <alignment horizontal="center"/>
    </xf>
    <xf numFmtId="165" fontId="9" fillId="8" borderId="31" xfId="1" applyNumberFormat="1" applyFont="1" applyFill="1" applyBorder="1" applyAlignment="1">
      <alignment horizontal="center"/>
    </xf>
    <xf numFmtId="0" fontId="10" fillId="9" borderId="30" xfId="0" applyFont="1" applyFill="1" applyBorder="1" applyAlignment="1">
      <alignment horizontal="left"/>
    </xf>
    <xf numFmtId="165" fontId="11" fillId="9" borderId="31" xfId="1" applyNumberFormat="1" applyFont="1" applyFill="1" applyBorder="1" applyAlignment="1"/>
    <xf numFmtId="0" fontId="11" fillId="9" borderId="31" xfId="0" applyFont="1" applyFill="1" applyBorder="1"/>
    <xf numFmtId="165" fontId="12" fillId="8" borderId="31" xfId="1" applyNumberFormat="1" applyFont="1" applyFill="1" applyBorder="1" applyAlignment="1">
      <alignment horizontal="right"/>
    </xf>
    <xf numFmtId="0" fontId="12" fillId="8" borderId="0" xfId="0" applyFont="1" applyFill="1" applyAlignment="1">
      <alignment horizontal="center"/>
    </xf>
    <xf numFmtId="0" fontId="8" fillId="8" borderId="30" xfId="0" applyFont="1" applyFill="1" applyBorder="1" applyAlignment="1">
      <alignment horizontal="left"/>
    </xf>
    <xf numFmtId="165" fontId="11" fillId="10" borderId="0" xfId="1" applyNumberFormat="1" applyFont="1" applyFill="1" applyBorder="1" applyAlignment="1"/>
    <xf numFmtId="0" fontId="11" fillId="10" borderId="0" xfId="0" applyFont="1" applyFill="1"/>
    <xf numFmtId="0" fontId="10" fillId="10" borderId="25" xfId="0" applyFont="1" applyFill="1" applyBorder="1" applyAlignment="1">
      <alignment horizontal="left"/>
    </xf>
    <xf numFmtId="3" fontId="11" fillId="10" borderId="0" xfId="0" applyNumberFormat="1" applyFont="1" applyFill="1" applyAlignment="1">
      <alignment vertical="center"/>
    </xf>
    <xf numFmtId="3" fontId="11" fillId="10" borderId="0" xfId="0" applyNumberFormat="1" applyFont="1" applyFill="1"/>
    <xf numFmtId="0" fontId="13" fillId="10" borderId="25" xfId="0" applyFont="1" applyFill="1" applyBorder="1" applyAlignment="1">
      <alignment horizontal="left"/>
    </xf>
    <xf numFmtId="166" fontId="0" fillId="0" borderId="0" xfId="0" applyNumberFormat="1"/>
    <xf numFmtId="0" fontId="10" fillId="9" borderId="30" xfId="0" quotePrefix="1" applyFont="1" applyFill="1" applyBorder="1" applyAlignment="1">
      <alignment horizontal="left"/>
    </xf>
    <xf numFmtId="166" fontId="11" fillId="11" borderId="31" xfId="1" applyNumberFormat="1" applyFont="1" applyFill="1" applyBorder="1" applyAlignment="1"/>
    <xf numFmtId="165" fontId="11" fillId="11" borderId="31" xfId="1" applyNumberFormat="1" applyFont="1" applyFill="1" applyBorder="1" applyAlignment="1"/>
    <xf numFmtId="0" fontId="10" fillId="10" borderId="0" xfId="0" applyFont="1" applyFill="1" applyAlignment="1">
      <alignment horizontal="left"/>
    </xf>
    <xf numFmtId="165" fontId="7" fillId="8" borderId="31" xfId="1" applyNumberFormat="1" applyFont="1" applyFill="1" applyBorder="1" applyAlignment="1">
      <alignment horizontal="centerContinuous"/>
    </xf>
    <xf numFmtId="0" fontId="12" fillId="8" borderId="31" xfId="0" applyFont="1" applyFill="1" applyBorder="1" applyAlignment="1">
      <alignment horizontal="center"/>
    </xf>
    <xf numFmtId="0" fontId="12" fillId="8" borderId="31" xfId="0" applyFont="1" applyFill="1" applyBorder="1" applyAlignment="1">
      <alignment horizontal="right"/>
    </xf>
    <xf numFmtId="0" fontId="12" fillId="8" borderId="33" xfId="0" applyFont="1" applyFill="1" applyBorder="1" applyAlignment="1">
      <alignment horizontal="center" wrapText="1"/>
    </xf>
    <xf numFmtId="0" fontId="10" fillId="0" borderId="25" xfId="0" applyFont="1" applyBorder="1" applyAlignment="1">
      <alignment horizontal="left"/>
    </xf>
    <xf numFmtId="165" fontId="11" fillId="0" borderId="0" xfId="1" applyNumberFormat="1" applyFont="1" applyFill="1" applyBorder="1" applyAlignment="1"/>
    <xf numFmtId="3" fontId="11" fillId="0" borderId="0" xfId="0" applyNumberFormat="1" applyFont="1" applyAlignment="1">
      <alignment vertical="center"/>
    </xf>
    <xf numFmtId="3" fontId="14" fillId="0" borderId="16" xfId="0" applyNumberFormat="1" applyFont="1" applyBorder="1" applyAlignment="1">
      <alignment horizontal="center"/>
    </xf>
    <xf numFmtId="165" fontId="15" fillId="12" borderId="2" xfId="1" applyNumberFormat="1" applyFont="1" applyFill="1" applyBorder="1" applyAlignment="1">
      <alignment vertical="center"/>
    </xf>
    <xf numFmtId="3" fontId="14" fillId="0" borderId="16" xfId="0" applyNumberFormat="1" applyFont="1" applyBorder="1" applyAlignment="1">
      <alignment horizontal="right"/>
    </xf>
    <xf numFmtId="3" fontId="14" fillId="0" borderId="0" xfId="0" applyNumberFormat="1" applyFont="1" applyAlignment="1">
      <alignment horizontal="right"/>
    </xf>
    <xf numFmtId="165" fontId="15" fillId="12" borderId="0" xfId="1" applyNumberFormat="1" applyFont="1" applyFill="1" applyBorder="1" applyAlignment="1">
      <alignment vertical="center"/>
    </xf>
    <xf numFmtId="0" fontId="14" fillId="0" borderId="8" xfId="0" applyFont="1" applyBorder="1" applyAlignment="1">
      <alignment horizontal="center"/>
    </xf>
    <xf numFmtId="165" fontId="15" fillId="12" borderId="3" xfId="1" applyNumberFormat="1" applyFont="1" applyFill="1" applyBorder="1" applyAlignment="1">
      <alignment vertical="center"/>
    </xf>
    <xf numFmtId="3" fontId="14" fillId="0" borderId="8" xfId="0" applyNumberFormat="1" applyFont="1" applyBorder="1" applyAlignment="1">
      <alignment horizontal="right"/>
    </xf>
    <xf numFmtId="0" fontId="16" fillId="0" borderId="8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5" fillId="0" borderId="3" xfId="3" applyFont="1" applyFill="1" applyBorder="1" applyAlignment="1">
      <alignment horizontal="left" vertical="center"/>
    </xf>
    <xf numFmtId="3" fontId="14" fillId="0" borderId="8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165" fontId="0" fillId="13" borderId="28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165" fontId="17" fillId="14" borderId="3" xfId="0" applyNumberFormat="1" applyFont="1" applyFill="1" applyBorder="1" applyAlignment="1">
      <alignment horizontal="left"/>
    </xf>
    <xf numFmtId="165" fontId="17" fillId="15" borderId="0" xfId="0" applyNumberFormat="1" applyFont="1" applyFill="1" applyAlignment="1">
      <alignment horizontal="left"/>
    </xf>
    <xf numFmtId="165" fontId="11" fillId="0" borderId="0" xfId="0" applyNumberFormat="1" applyFont="1"/>
    <xf numFmtId="0" fontId="10" fillId="0" borderId="0" xfId="0" applyFont="1" applyAlignment="1">
      <alignment horizontal="left"/>
    </xf>
    <xf numFmtId="165" fontId="0" fillId="13" borderId="0" xfId="1" applyNumberFormat="1" applyFont="1" applyFill="1" applyBorder="1" applyAlignment="1">
      <alignment vertical="center"/>
    </xf>
    <xf numFmtId="165" fontId="11" fillId="11" borderId="0" xfId="1" applyNumberFormat="1" applyFont="1" applyFill="1" applyBorder="1" applyAlignment="1"/>
    <xf numFmtId="0" fontId="13" fillId="10" borderId="25" xfId="0" quotePrefix="1" applyFont="1" applyFill="1" applyBorder="1" applyAlignment="1">
      <alignment horizontal="left"/>
    </xf>
    <xf numFmtId="0" fontId="13" fillId="10" borderId="0" xfId="0" quotePrefix="1" applyFont="1" applyFill="1" applyAlignment="1">
      <alignment horizontal="left"/>
    </xf>
  </cellXfs>
  <cellStyles count="4">
    <cellStyle name="Normal" xfId="0" builtinId="0"/>
    <cellStyle name="Comma" xfId="1" builtinId="3"/>
    <cellStyle name="Percent" xfId="2" builtinId="5"/>
    <cellStyle name="20% - Accent3" xfId="3" builtinId="3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calcChain" Target="calcChain.xml" /><Relationship Id="rId10" Type="http://schemas.openxmlformats.org/officeDocument/2006/relationships/sharedStrings" Target="sharedStrings.xml" /><Relationship Id="rId11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threadedComments/threadedComment1.xml><?xml version="1.0" encoding="utf-8"?>
<ThreadedComments xmlns="http://schemas.microsoft.com/office/spreadsheetml/2018/threadedcomments">
  <threadedComment ref="P7" dT="2026-03-27T10:53:37.60" personId="{2D775E0F-25EB-4869-B64A-5FF516290769}" id="{2DF3315A-21F6-4465-8DD2-4F7B368BCDAD}">
    <text>Control_x000A_</text>
  </threadedComment>
  <threadedComment ref="P12" dT="2026-03-27T10:53:37.60" personId="{2D775E0F-25EB-4869-B64A-5FF516290769}" id="{30996A56-F3B7-47CD-856D-28D39738B1D7}">
    <text>Control_x000A_</text>
  </threadedComment>
  <threadedComment ref="P17" dT="2026-03-27T10:53:37.60" personId="{2D775E0F-25EB-4869-B64A-5FF516290769}" id="{914C6D32-E202-4ED0-9DF0-CA6D80882930}">
    <text>Control_x000A_</text>
  </threadedComment>
</ThreadedComments>
</file>

<file path=xl/threadedComments/threadedComment2.xml><?xml version="1.0" encoding="utf-8"?>
<ThreadedComments xmlns="http://schemas.microsoft.com/office/spreadsheetml/2018/threadedcomments">
  <threadedComment ref="P7" dT="2026-03-27T10:53:37.60" personId="{2D775E0F-25EB-4869-B64A-5FF516290769}" id="{CADE0C93-7C6B-4A65-9638-5BC952EBAF60}">
    <text>Control_x000A_</text>
  </threadedComment>
  <threadedComment ref="P12" dT="2026-03-27T10:53:37.60" personId="{2D775E0F-25EB-4869-B64A-5FF516290769}" id="{93627DF0-F0EC-4D87-801B-760854F3EFE9}">
    <text>Control_x000A_</text>
  </threadedComment>
</ThreadedComment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Relationship Id="rId3" Type="http://schemas.microsoft.com/office/2017/10/relationships/threadedComment" Target="../threadedComments/threadedComment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Relationship Id="rId3" Type="http://schemas.microsoft.com/office/2017/10/relationships/threadedComment" Target="../threadedComments/threadedComment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B14">
      <selection activeCell="B28" sqref="B28"/>
    </sheetView>
  </sheetViews>
  <sheetFormatPr defaultRowHeight="14.25"/>
  <cols>
    <col min="2" max="2" width="23.25" bestFit="1" customWidth="1"/>
    <col min="3" max="3" width="13.875" customWidth="1"/>
    <col min="4" max="4" width="11" bestFit="1" customWidth="1"/>
  </cols>
  <sheetData>
    <row r="1" ht="27">
      <c r="G1" s="1" t="s">
        <v>0</v>
      </c>
    </row>
    <row r="2" ht="27">
      <c r="G2" s="1"/>
    </row>
    <row r="3" ht="15">
      <c r="C3" s="2" t="s">
        <v>1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5"/>
    </row>
    <row r="5" ht="15">
      <c r="B5" s="6" t="s">
        <v>4</v>
      </c>
      <c r="C5" s="7">
        <f>P5-SUM(D5:O5)</f>
        <v>2389</v>
      </c>
      <c r="D5">
        <v>43</v>
      </c>
      <c r="E5">
        <v>92</v>
      </c>
      <c r="F5">
        <v>27</v>
      </c>
      <c r="G5">
        <v>110</v>
      </c>
      <c r="H5">
        <v>42</v>
      </c>
      <c r="I5">
        <v>30</v>
      </c>
      <c r="J5">
        <v>45</v>
      </c>
      <c r="K5">
        <v>90</v>
      </c>
      <c r="L5">
        <v>60</v>
      </c>
      <c r="M5">
        <v>61</v>
      </c>
      <c r="N5">
        <v>135</v>
      </c>
      <c r="O5">
        <v>111</v>
      </c>
      <c r="P5" s="8">
        <v>3235</v>
      </c>
    </row>
    <row r="6" ht="15">
      <c r="B6" s="6" t="s">
        <v>5</v>
      </c>
      <c r="C6" s="7">
        <f>P6-SUM(D6:O6)</f>
        <v>54</v>
      </c>
      <c r="D6">
        <v>1</v>
      </c>
      <c r="E6">
        <v>2</v>
      </c>
      <c r="F6">
        <v>1</v>
      </c>
      <c r="G6">
        <v>3</v>
      </c>
      <c r="H6">
        <v>1</v>
      </c>
      <c r="I6">
        <v>1</v>
      </c>
      <c r="J6">
        <v>1</v>
      </c>
      <c r="K6">
        <v>2</v>
      </c>
      <c r="L6">
        <v>2</v>
      </c>
      <c r="M6">
        <v>1</v>
      </c>
      <c r="N6">
        <v>4</v>
      </c>
      <c r="O6">
        <v>3</v>
      </c>
      <c r="P6" s="9">
        <v>76</v>
      </c>
    </row>
    <row r="7" ht="15">
      <c r="B7" s="10" t="s">
        <v>6</v>
      </c>
      <c r="C7" s="11">
        <f>C6</f>
        <v>54</v>
      </c>
      <c r="D7" s="10">
        <f>D6+C6</f>
        <v>55</v>
      </c>
      <c r="E7" s="10">
        <f>D7+E6</f>
        <v>57</v>
      </c>
      <c r="F7" s="10">
        <f>E7+F6</f>
        <v>58</v>
      </c>
      <c r="G7" s="10">
        <f t="shared" ref="G7:O7" si="1">F7+G6</f>
        <v>61</v>
      </c>
      <c r="H7" s="10">
        <f t="shared" si="1"/>
        <v>62</v>
      </c>
      <c r="I7" s="10">
        <f t="shared" si="1"/>
        <v>63</v>
      </c>
      <c r="J7" s="10">
        <f t="shared" si="1"/>
        <v>64</v>
      </c>
      <c r="K7" s="10">
        <f t="shared" si="1"/>
        <v>66</v>
      </c>
      <c r="L7" s="10">
        <f t="shared" si="1"/>
        <v>68</v>
      </c>
      <c r="M7" s="10">
        <f t="shared" si="1"/>
        <v>69</v>
      </c>
      <c r="N7" s="10">
        <f t="shared" si="1"/>
        <v>73</v>
      </c>
      <c r="O7" s="10">
        <f t="shared" si="1"/>
        <v>76</v>
      </c>
      <c r="P7" s="12">
        <f>P6-O7</f>
        <v>0</v>
      </c>
    </row>
    <row r="8" ht="15">
      <c r="B8" s="10" t="s">
        <v>7</v>
      </c>
      <c r="C8" s="11">
        <f>C5</f>
        <v>2389</v>
      </c>
      <c r="D8">
        <f>C8+D5</f>
        <v>2432</v>
      </c>
      <c r="E8">
        <f t="shared" ref="E8:O8" si="2">D8+E5</f>
        <v>2524</v>
      </c>
      <c r="F8">
        <f t="shared" si="2"/>
        <v>2551</v>
      </c>
      <c r="G8">
        <f t="shared" si="2"/>
        <v>2661</v>
      </c>
      <c r="H8">
        <f t="shared" si="2"/>
        <v>2703</v>
      </c>
      <c r="I8">
        <f t="shared" si="2"/>
        <v>2733</v>
      </c>
      <c r="J8">
        <f t="shared" si="2"/>
        <v>2778</v>
      </c>
      <c r="K8">
        <f t="shared" si="2"/>
        <v>2868</v>
      </c>
      <c r="L8">
        <f t="shared" si="2"/>
        <v>2928</v>
      </c>
      <c r="M8">
        <f t="shared" si="2"/>
        <v>2989</v>
      </c>
      <c r="N8">
        <f t="shared" si="2"/>
        <v>3124</v>
      </c>
      <c r="O8">
        <f t="shared" si="2"/>
        <v>3235</v>
      </c>
      <c r="P8" s="12">
        <f>P5-O8</f>
        <v>0</v>
      </c>
    </row>
    <row r="9" ht="15">
      <c r="B9" s="13" t="s">
        <v>8</v>
      </c>
      <c r="C9" s="5"/>
      <c r="P9" s="9"/>
    </row>
    <row r="10" ht="15">
      <c r="B10" s="6" t="s">
        <v>4</v>
      </c>
      <c r="C10" s="7">
        <f>P10-SUM(D10:O10)</f>
        <v>528</v>
      </c>
      <c r="D10" s="9"/>
      <c r="E10">
        <v>228</v>
      </c>
      <c r="F10">
        <v>90</v>
      </c>
      <c r="G10">
        <v>175</v>
      </c>
      <c r="H10">
        <v>55</v>
      </c>
      <c r="I10">
        <v>90</v>
      </c>
      <c r="J10">
        <v>119</v>
      </c>
      <c r="K10">
        <v>40</v>
      </c>
      <c r="L10">
        <v>338</v>
      </c>
      <c r="M10">
        <v>316</v>
      </c>
      <c r="N10">
        <v>51</v>
      </c>
      <c r="O10">
        <v>227</v>
      </c>
      <c r="P10">
        <v>2257</v>
      </c>
    </row>
    <row r="11" ht="15">
      <c r="B11" s="6" t="s">
        <v>5</v>
      </c>
      <c r="C11" s="7">
        <f>P11-SUM(D11:O11)</f>
        <v>6</v>
      </c>
      <c r="D11" s="9">
        <v>0</v>
      </c>
      <c r="E11">
        <v>3</v>
      </c>
      <c r="F11">
        <v>1</v>
      </c>
      <c r="G11">
        <v>2</v>
      </c>
      <c r="H11">
        <v>1</v>
      </c>
      <c r="I11">
        <v>1</v>
      </c>
      <c r="J11">
        <v>2</v>
      </c>
      <c r="K11">
        <v>1</v>
      </c>
      <c r="L11">
        <v>3</v>
      </c>
      <c r="M11">
        <v>3</v>
      </c>
      <c r="N11">
        <v>1</v>
      </c>
      <c r="O11">
        <v>4</v>
      </c>
      <c r="P11">
        <v>28</v>
      </c>
    </row>
    <row r="12" ht="15">
      <c r="B12" s="10" t="s">
        <v>9</v>
      </c>
      <c r="C12" s="11">
        <f>C11</f>
        <v>6</v>
      </c>
      <c r="D12" s="10">
        <f>D11+C11</f>
        <v>6</v>
      </c>
      <c r="E12" s="10">
        <f>D12+E11</f>
        <v>9</v>
      </c>
      <c r="F12" s="10">
        <f>E12+F11</f>
        <v>10</v>
      </c>
      <c r="G12" s="10">
        <f t="shared" ref="G12" si="3">F12+G11</f>
        <v>12</v>
      </c>
      <c r="H12" s="10">
        <f t="shared" ref="H12" si="4">G12+H11</f>
        <v>13</v>
      </c>
      <c r="I12" s="10">
        <f t="shared" ref="I12" si="5">H12+I11</f>
        <v>14</v>
      </c>
      <c r="J12" s="10">
        <f t="shared" ref="J12" si="6">I12+J11</f>
        <v>16</v>
      </c>
      <c r="K12" s="10">
        <f t="shared" ref="K12" si="7">J12+K11</f>
        <v>17</v>
      </c>
      <c r="L12" s="10">
        <f t="shared" ref="L12" si="8">K12+L11</f>
        <v>20</v>
      </c>
      <c r="M12" s="10">
        <f t="shared" ref="M12" si="9">L12+M11</f>
        <v>23</v>
      </c>
      <c r="N12" s="10">
        <f t="shared" ref="N12" si="10">M12+N11</f>
        <v>24</v>
      </c>
      <c r="O12" s="10">
        <f t="shared" ref="O12" si="11">N12+O11</f>
        <v>28</v>
      </c>
      <c r="P12" s="12">
        <f>P11-O12</f>
        <v>0</v>
      </c>
    </row>
    <row r="13" ht="15">
      <c r="B13" s="10" t="s">
        <v>7</v>
      </c>
      <c r="C13" s="11">
        <f>C10</f>
        <v>528</v>
      </c>
      <c r="D13">
        <f>C13+D10</f>
        <v>528</v>
      </c>
      <c r="E13">
        <f t="shared" ref="E13:O13" si="12">D13+E10</f>
        <v>756</v>
      </c>
      <c r="F13">
        <f t="shared" si="12"/>
        <v>846</v>
      </c>
      <c r="G13">
        <f t="shared" si="12"/>
        <v>1021</v>
      </c>
      <c r="H13">
        <f t="shared" si="12"/>
        <v>1076</v>
      </c>
      <c r="I13">
        <f t="shared" si="12"/>
        <v>1166</v>
      </c>
      <c r="J13">
        <f t="shared" si="12"/>
        <v>1285</v>
      </c>
      <c r="K13">
        <f t="shared" si="12"/>
        <v>1325</v>
      </c>
      <c r="L13">
        <f t="shared" si="12"/>
        <v>1663</v>
      </c>
      <c r="M13">
        <f t="shared" si="12"/>
        <v>1979</v>
      </c>
      <c r="N13">
        <f t="shared" si="12"/>
        <v>2030</v>
      </c>
      <c r="O13">
        <f t="shared" si="12"/>
        <v>2257</v>
      </c>
      <c r="P13" s="12">
        <f>P10-O13</f>
        <v>0</v>
      </c>
    </row>
    <row r="14" ht="15">
      <c r="B14" s="13" t="s">
        <v>10</v>
      </c>
      <c r="C14" s="5"/>
      <c r="P14" s="9"/>
    </row>
    <row r="15" ht="15">
      <c r="B15" s="6" t="s">
        <v>4</v>
      </c>
      <c r="C15" s="7">
        <f>P15-SUM(D15:O15)</f>
        <v>116</v>
      </c>
      <c r="D15">
        <v>104</v>
      </c>
      <c r="E15">
        <v>90</v>
      </c>
      <c r="F15">
        <v>40</v>
      </c>
      <c r="G15">
        <v>28</v>
      </c>
      <c r="H15">
        <v>0</v>
      </c>
      <c r="I15">
        <v>68</v>
      </c>
      <c r="J15">
        <v>43</v>
      </c>
      <c r="K15">
        <v>61</v>
      </c>
      <c r="L15">
        <v>14</v>
      </c>
      <c r="M15">
        <v>135</v>
      </c>
      <c r="N15">
        <v>152</v>
      </c>
      <c r="O15">
        <v>196</v>
      </c>
      <c r="P15" s="9">
        <v>1047</v>
      </c>
    </row>
    <row r="16" ht="15">
      <c r="B16" s="6" t="s">
        <v>5</v>
      </c>
      <c r="C16" s="7">
        <f>P16-SUM(D16:O16)</f>
        <v>4</v>
      </c>
      <c r="D16">
        <v>3</v>
      </c>
      <c r="E16">
        <v>2</v>
      </c>
      <c r="F16">
        <v>1</v>
      </c>
      <c r="G16">
        <v>1</v>
      </c>
      <c r="H16">
        <v>0</v>
      </c>
      <c r="I16">
        <v>2</v>
      </c>
      <c r="J16">
        <v>2</v>
      </c>
      <c r="K16">
        <v>3</v>
      </c>
      <c r="L16">
        <v>1</v>
      </c>
      <c r="M16">
        <v>4</v>
      </c>
      <c r="N16">
        <v>8</v>
      </c>
      <c r="O16">
        <v>9</v>
      </c>
      <c r="P16" s="9">
        <v>40</v>
      </c>
    </row>
    <row r="17" ht="15">
      <c r="B17" s="10" t="s">
        <v>9</v>
      </c>
      <c r="C17" s="11">
        <f>C16</f>
        <v>4</v>
      </c>
      <c r="D17" s="10">
        <f>D16+C16</f>
        <v>7</v>
      </c>
      <c r="E17" s="10">
        <f>D17+E16</f>
        <v>9</v>
      </c>
      <c r="F17" s="10">
        <f>E17+F16</f>
        <v>10</v>
      </c>
      <c r="G17" s="10">
        <f t="shared" ref="G17" si="13">F17+G16</f>
        <v>11</v>
      </c>
      <c r="H17" s="10">
        <f t="shared" ref="H17" si="14">G17+H16</f>
        <v>11</v>
      </c>
      <c r="I17" s="10">
        <f t="shared" ref="I17" si="15">H17+I16</f>
        <v>13</v>
      </c>
      <c r="J17" s="10">
        <f t="shared" ref="J17" si="16">I17+J16</f>
        <v>15</v>
      </c>
      <c r="K17" s="10">
        <f t="shared" ref="K17" si="17">J17+K16</f>
        <v>18</v>
      </c>
      <c r="L17" s="10">
        <f t="shared" ref="L17" si="18">K17+L16</f>
        <v>19</v>
      </c>
      <c r="M17" s="10">
        <f t="shared" ref="M17" si="19">L17+M16</f>
        <v>23</v>
      </c>
      <c r="N17" s="10">
        <f t="shared" ref="N17" si="20">M17+N16</f>
        <v>31</v>
      </c>
      <c r="O17" s="10">
        <f t="shared" ref="O17" si="21">N17+O16</f>
        <v>40</v>
      </c>
      <c r="P17" s="12">
        <f>P16-O17</f>
        <v>0</v>
      </c>
      <c r="R17">
        <f>P11+P16+P6</f>
        <v>144</v>
      </c>
    </row>
    <row r="18" ht="15">
      <c r="B18" s="10" t="s">
        <v>7</v>
      </c>
      <c r="C18" s="11">
        <f>C15</f>
        <v>116</v>
      </c>
      <c r="D18">
        <f>C18+D15</f>
        <v>220</v>
      </c>
      <c r="E18">
        <f t="shared" ref="E18:O18" si="22">D18+E15</f>
        <v>310</v>
      </c>
      <c r="F18">
        <f t="shared" si="22"/>
        <v>350</v>
      </c>
      <c r="G18">
        <f t="shared" si="22"/>
        <v>378</v>
      </c>
      <c r="H18">
        <f t="shared" si="22"/>
        <v>378</v>
      </c>
      <c r="I18">
        <f t="shared" si="22"/>
        <v>446</v>
      </c>
      <c r="J18">
        <f t="shared" si="22"/>
        <v>489</v>
      </c>
      <c r="K18">
        <f t="shared" si="22"/>
        <v>550</v>
      </c>
      <c r="L18">
        <f t="shared" si="22"/>
        <v>564</v>
      </c>
      <c r="M18">
        <f t="shared" si="22"/>
        <v>699</v>
      </c>
      <c r="N18">
        <f t="shared" si="22"/>
        <v>851</v>
      </c>
      <c r="O18">
        <f t="shared" si="22"/>
        <v>1047</v>
      </c>
      <c r="P18" s="12">
        <f>P15-O18</f>
        <v>0</v>
      </c>
    </row>
    <row r="19">
      <c r="B19" s="10" t="s">
        <v>11</v>
      </c>
      <c r="C19" s="11"/>
      <c r="P19">
        <f>P6+P11+P16</f>
        <v>144</v>
      </c>
    </row>
    <row r="20">
      <c r="B20" s="10" t="s">
        <v>12</v>
      </c>
      <c r="E20" s="14" t="s">
        <v>13</v>
      </c>
      <c r="F20" s="15"/>
      <c r="G20" s="15"/>
      <c r="H20" s="15"/>
      <c r="I20" s="16"/>
      <c r="P20">
        <f>P5+P10+P15</f>
        <v>6539</v>
      </c>
    </row>
    <row r="21" ht="14.5" customHeight="1">
      <c r="C21" s="17"/>
      <c r="D21" s="18" t="s">
        <v>14</v>
      </c>
      <c r="E21" s="19" t="s">
        <v>15</v>
      </c>
      <c r="F21" s="20" t="s">
        <v>16</v>
      </c>
      <c r="G21" s="20" t="s">
        <v>17</v>
      </c>
      <c r="H21" s="20" t="s">
        <v>18</v>
      </c>
      <c r="I21" s="21" t="s">
        <v>2</v>
      </c>
    </row>
    <row r="22" ht="15.75">
      <c r="C22" s="22" t="s">
        <v>19</v>
      </c>
      <c r="D22" s="23"/>
      <c r="E22" s="24"/>
      <c r="F22" s="22"/>
      <c r="G22" s="22"/>
      <c r="H22" s="22"/>
      <c r="I22" s="25"/>
    </row>
    <row r="23" ht="15.75">
      <c r="C23" s="26" t="s">
        <v>20</v>
      </c>
      <c r="D23" s="27">
        <v>9</v>
      </c>
      <c r="E23" s="28">
        <v>0</v>
      </c>
      <c r="F23" s="28">
        <v>0</v>
      </c>
      <c r="G23" s="28">
        <v>0</v>
      </c>
      <c r="H23" s="28">
        <v>0</v>
      </c>
      <c r="I23" s="29">
        <f>SUM(E23:H23)</f>
        <v>0</v>
      </c>
    </row>
    <row r="24" ht="15.75">
      <c r="C24" s="26" t="s">
        <v>21</v>
      </c>
      <c r="D24" s="27">
        <v>3</v>
      </c>
      <c r="E24" s="28">
        <v>0</v>
      </c>
      <c r="F24" s="28">
        <v>0</v>
      </c>
      <c r="G24" s="28">
        <v>0</v>
      </c>
      <c r="H24" s="28">
        <v>0</v>
      </c>
      <c r="I24" s="29">
        <f t="shared" ref="I24:I25" si="23">SUM(E24:H24)</f>
        <v>0</v>
      </c>
    </row>
    <row r="25" ht="15.75">
      <c r="C25" s="26" t="s">
        <v>22</v>
      </c>
      <c r="D25" s="27">
        <v>4</v>
      </c>
      <c r="E25" s="28">
        <v>0</v>
      </c>
      <c r="F25" s="28">
        <v>0</v>
      </c>
      <c r="G25" s="28">
        <v>0</v>
      </c>
      <c r="H25" s="28">
        <v>0</v>
      </c>
      <c r="I25" s="29">
        <f t="shared" si="23"/>
        <v>0</v>
      </c>
    </row>
    <row r="28">
      <c r="B28" s="30"/>
      <c r="C28" s="31" t="s">
        <v>23</v>
      </c>
    </row>
    <row r="29" ht="52.5">
      <c r="C29" s="32" t="s">
        <v>24</v>
      </c>
    </row>
    <row r="30" ht="73.5">
      <c r="C30" s="32" t="s">
        <v>25</v>
      </c>
    </row>
  </sheetData>
  <mergeCells count="3">
    <mergeCell ref="E20:I20"/>
    <mergeCell ref="D21:D22"/>
    <mergeCell ref="E21:E22"/>
  </mergeCells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P10" activeCellId="1" sqref="P5 P10"/>
    </sheetView>
  </sheetViews>
  <sheetFormatPr defaultRowHeight="14.25"/>
  <cols>
    <col min="2" max="2" width="13.875" bestFit="1" customWidth="1"/>
    <col min="3" max="3" width="13.875" customWidth="1"/>
  </cols>
  <sheetData>
    <row r="1" ht="27">
      <c r="I1" s="1" t="s">
        <v>26</v>
      </c>
    </row>
    <row r="3" ht="15">
      <c r="C3" s="3" t="s">
        <v>27</v>
      </c>
      <c r="D3" s="3">
        <v>45748</v>
      </c>
      <c r="E3" s="3">
        <f>EOMONTH(D3,1)</f>
        <v>45808</v>
      </c>
      <c r="F3" s="3">
        <f t="shared" ref="F3:O3" si="0">EOMONTH(E3,1)</f>
        <v>45838</v>
      </c>
      <c r="G3" s="3">
        <f t="shared" si="0"/>
        <v>45869</v>
      </c>
      <c r="H3" s="3">
        <f t="shared" si="0"/>
        <v>45900</v>
      </c>
      <c r="I3" s="3">
        <f t="shared" si="0"/>
        <v>45930</v>
      </c>
      <c r="J3" s="3">
        <f t="shared" si="0"/>
        <v>45961</v>
      </c>
      <c r="K3" s="3">
        <f t="shared" si="0"/>
        <v>45991</v>
      </c>
      <c r="L3" s="3">
        <f t="shared" si="0"/>
        <v>46022</v>
      </c>
      <c r="M3" s="3">
        <f t="shared" si="0"/>
        <v>46053</v>
      </c>
      <c r="N3" s="3">
        <f t="shared" si="0"/>
        <v>46081</v>
      </c>
      <c r="O3" s="3">
        <f t="shared" si="0"/>
        <v>46112</v>
      </c>
      <c r="P3" s="3" t="s">
        <v>2</v>
      </c>
    </row>
    <row r="4" ht="15">
      <c r="B4" s="4" t="s">
        <v>3</v>
      </c>
      <c r="C4" s="33"/>
    </row>
    <row r="5" ht="15">
      <c r="B5" s="6" t="s">
        <v>4</v>
      </c>
      <c r="C5" s="9">
        <v>1232</v>
      </c>
      <c r="D5" s="9">
        <v>0</v>
      </c>
      <c r="E5" s="9">
        <v>0</v>
      </c>
      <c r="F5" s="9">
        <v>90</v>
      </c>
      <c r="G5" s="9">
        <v>0</v>
      </c>
      <c r="H5" s="9">
        <v>0</v>
      </c>
      <c r="I5" s="9">
        <v>86</v>
      </c>
      <c r="J5" s="9">
        <v>0</v>
      </c>
      <c r="K5" s="9">
        <v>73</v>
      </c>
      <c r="L5" s="9">
        <v>40</v>
      </c>
      <c r="M5" s="9">
        <v>123</v>
      </c>
      <c r="N5" s="9"/>
      <c r="O5" s="9">
        <v>56</v>
      </c>
      <c r="P5" s="9">
        <f>SUM(C5:O5)</f>
        <v>1700</v>
      </c>
    </row>
    <row r="6" ht="15">
      <c r="B6" s="6" t="s">
        <v>5</v>
      </c>
      <c r="C6" s="6">
        <v>32</v>
      </c>
      <c r="D6" s="9">
        <v>0</v>
      </c>
      <c r="E6" s="9">
        <v>0</v>
      </c>
      <c r="F6" s="9">
        <v>2</v>
      </c>
      <c r="G6" s="9">
        <v>0</v>
      </c>
      <c r="H6" s="9">
        <v>0</v>
      </c>
      <c r="I6" s="9">
        <v>1</v>
      </c>
      <c r="J6" s="9">
        <v>0</v>
      </c>
      <c r="K6" s="9">
        <v>1</v>
      </c>
      <c r="L6" s="9">
        <v>1</v>
      </c>
      <c r="M6" s="9">
        <v>3</v>
      </c>
      <c r="N6" s="9"/>
      <c r="O6" s="9">
        <v>1</v>
      </c>
      <c r="P6" s="9">
        <f>SUM(C6:O6)</f>
        <v>41</v>
      </c>
    </row>
    <row r="7" ht="15">
      <c r="B7" s="10" t="s">
        <v>7</v>
      </c>
      <c r="C7" s="10">
        <f>C5</f>
        <v>1232</v>
      </c>
      <c r="D7" s="10">
        <f>C7+D5</f>
        <v>1232</v>
      </c>
      <c r="E7" s="10">
        <f>D7+E5</f>
        <v>1232</v>
      </c>
      <c r="F7" s="10">
        <f t="shared" ref="F7:O7" si="1">E7+F5</f>
        <v>1322</v>
      </c>
      <c r="G7" s="10">
        <f t="shared" si="1"/>
        <v>1322</v>
      </c>
      <c r="H7" s="10">
        <f t="shared" si="1"/>
        <v>1322</v>
      </c>
      <c r="I7" s="10">
        <f t="shared" si="1"/>
        <v>1408</v>
      </c>
      <c r="J7" s="10">
        <f t="shared" si="1"/>
        <v>1408</v>
      </c>
      <c r="K7" s="10">
        <f t="shared" si="1"/>
        <v>1481</v>
      </c>
      <c r="L7" s="10">
        <f t="shared" si="1"/>
        <v>1521</v>
      </c>
      <c r="M7" s="10">
        <f t="shared" si="1"/>
        <v>1644</v>
      </c>
      <c r="N7" s="10">
        <f t="shared" si="1"/>
        <v>1644</v>
      </c>
      <c r="O7" s="10">
        <f t="shared" si="1"/>
        <v>1700</v>
      </c>
      <c r="P7" s="12">
        <f>P5-O7</f>
        <v>0</v>
      </c>
    </row>
    <row r="8" ht="15">
      <c r="B8" s="10" t="s">
        <v>6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 s="9">
        <f>P6-O8</f>
        <v>0</v>
      </c>
    </row>
    <row r="9" ht="15">
      <c r="B9" s="13" t="s">
        <v>20</v>
      </c>
      <c r="C9" s="33"/>
      <c r="P9" s="9"/>
    </row>
    <row r="10" ht="15">
      <c r="B10" s="6" t="s">
        <v>4</v>
      </c>
      <c r="C10" s="6">
        <v>32</v>
      </c>
      <c r="D10" s="9">
        <v>0</v>
      </c>
      <c r="E10" s="9">
        <v>73</v>
      </c>
      <c r="F10" s="9">
        <v>26</v>
      </c>
      <c r="G10" s="9">
        <v>112</v>
      </c>
      <c r="H10" s="9">
        <v>30</v>
      </c>
      <c r="I10" s="9">
        <v>28</v>
      </c>
      <c r="J10" s="9">
        <v>51</v>
      </c>
      <c r="K10" s="9">
        <v>78</v>
      </c>
      <c r="L10" s="9">
        <v>20</v>
      </c>
      <c r="M10" s="9">
        <v>60</v>
      </c>
      <c r="N10" s="9">
        <v>0</v>
      </c>
      <c r="O10" s="9">
        <v>143</v>
      </c>
      <c r="P10" s="9">
        <f>SUM(C10:O10)</f>
        <v>653</v>
      </c>
    </row>
    <row r="11" ht="15">
      <c r="B11" s="6" t="s">
        <v>5</v>
      </c>
      <c r="C11" s="6">
        <v>1</v>
      </c>
      <c r="D11" s="9">
        <v>0</v>
      </c>
      <c r="E11" s="9">
        <v>2</v>
      </c>
      <c r="F11" s="9">
        <v>1</v>
      </c>
      <c r="G11" s="9">
        <v>2</v>
      </c>
      <c r="H11" s="9">
        <v>1</v>
      </c>
      <c r="I11" s="9">
        <v>1</v>
      </c>
      <c r="J11" s="9">
        <v>2</v>
      </c>
      <c r="K11" s="9">
        <v>3</v>
      </c>
      <c r="L11" s="9">
        <v>1</v>
      </c>
      <c r="M11" s="9">
        <v>2</v>
      </c>
      <c r="N11" s="9">
        <v>0</v>
      </c>
      <c r="O11" s="9">
        <v>5</v>
      </c>
      <c r="P11" s="9">
        <f>SUM(C11:O11)</f>
        <v>21</v>
      </c>
    </row>
    <row r="12" ht="15">
      <c r="B12" s="10" t="s">
        <v>28</v>
      </c>
      <c r="C12" s="10">
        <f>C10</f>
        <v>32</v>
      </c>
      <c r="D12" s="10">
        <f>C12+D10</f>
        <v>32</v>
      </c>
      <c r="E12" s="10">
        <f>D12+E10</f>
        <v>105</v>
      </c>
      <c r="F12" s="10">
        <f t="shared" ref="F12:O12" si="3">E12+F10</f>
        <v>131</v>
      </c>
      <c r="G12" s="10">
        <f t="shared" si="3"/>
        <v>243</v>
      </c>
      <c r="H12" s="10">
        <f t="shared" si="3"/>
        <v>273</v>
      </c>
      <c r="I12" s="10">
        <f t="shared" si="3"/>
        <v>301</v>
      </c>
      <c r="J12" s="10">
        <f t="shared" si="3"/>
        <v>352</v>
      </c>
      <c r="K12" s="10">
        <f t="shared" si="3"/>
        <v>430</v>
      </c>
      <c r="L12" s="10">
        <f t="shared" si="3"/>
        <v>450</v>
      </c>
      <c r="M12" s="10">
        <f t="shared" si="3"/>
        <v>510</v>
      </c>
      <c r="N12" s="10">
        <f t="shared" si="3"/>
        <v>510</v>
      </c>
      <c r="O12" s="10">
        <f t="shared" si="3"/>
        <v>653</v>
      </c>
      <c r="P12" s="12">
        <f>P10-O12</f>
        <v>0</v>
      </c>
    </row>
    <row r="13" ht="15">
      <c r="B13" s="10" t="s">
        <v>6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9">
        <f>P11-O13</f>
        <v>0</v>
      </c>
    </row>
    <row r="14" thickBot="1" ht="15">
      <c r="D14" s="34" t="s">
        <v>13</v>
      </c>
      <c r="E14" s="34"/>
      <c r="F14" s="34"/>
      <c r="G14" s="34"/>
      <c r="H14" s="34"/>
    </row>
    <row r="15" ht="14.5" customHeight="1">
      <c r="B15" s="35"/>
      <c r="C15" s="36" t="s">
        <v>29</v>
      </c>
      <c r="D15" s="36" t="s">
        <v>15</v>
      </c>
      <c r="E15" s="36" t="s">
        <v>16</v>
      </c>
      <c r="F15" s="36" t="s">
        <v>17</v>
      </c>
      <c r="G15" s="36" t="s">
        <v>18</v>
      </c>
      <c r="H15" s="37" t="s">
        <v>2</v>
      </c>
    </row>
    <row r="16" ht="15.75">
      <c r="B16" s="24" t="s">
        <v>19</v>
      </c>
      <c r="C16" s="22"/>
      <c r="D16" s="22"/>
      <c r="E16" s="22"/>
      <c r="F16" s="22"/>
      <c r="G16" s="22"/>
      <c r="H16" s="25"/>
    </row>
    <row r="17" ht="15.75">
      <c r="B17" s="38" t="s">
        <v>20</v>
      </c>
      <c r="H17" s="39"/>
    </row>
    <row r="18" ht="15">
      <c r="B18" s="40" t="s">
        <v>30</v>
      </c>
      <c r="C18" s="41">
        <v>5</v>
      </c>
      <c r="D18" s="41">
        <v>0</v>
      </c>
      <c r="E18" s="41">
        <v>0</v>
      </c>
      <c r="F18" s="41">
        <v>0</v>
      </c>
      <c r="G18" s="41">
        <v>0</v>
      </c>
      <c r="H18" s="29">
        <f>SUM(D18:G18)</f>
        <v>0</v>
      </c>
    </row>
    <row r="19" ht="15">
      <c r="B19" s="40" t="s">
        <v>31</v>
      </c>
      <c r="C19" s="41">
        <v>143</v>
      </c>
      <c r="D19">
        <v>0</v>
      </c>
      <c r="E19">
        <v>0</v>
      </c>
      <c r="F19">
        <v>0</v>
      </c>
      <c r="G19">
        <v>0</v>
      </c>
      <c r="H19" s="29">
        <f t="shared" ref="H19:H22" si="5">SUM(D19:G19)</f>
        <v>0</v>
      </c>
    </row>
    <row r="20" ht="15.75">
      <c r="B20" s="38" t="s">
        <v>21</v>
      </c>
      <c r="H20" s="29">
        <f t="shared" si="5"/>
        <v>0</v>
      </c>
    </row>
    <row r="21" ht="15">
      <c r="B21" s="40" t="s">
        <v>30</v>
      </c>
      <c r="C21" s="41">
        <v>0</v>
      </c>
      <c r="D21" s="41">
        <v>0</v>
      </c>
      <c r="E21" s="41">
        <v>0</v>
      </c>
      <c r="F21" s="41">
        <v>0</v>
      </c>
      <c r="G21" s="41">
        <v>0</v>
      </c>
      <c r="H21" s="29">
        <f t="shared" si="5"/>
        <v>0</v>
      </c>
    </row>
    <row r="22" ht="15">
      <c r="B22" s="40" t="s">
        <v>31</v>
      </c>
      <c r="C22" s="41">
        <v>55</v>
      </c>
      <c r="D22">
        <v>0</v>
      </c>
      <c r="E22">
        <v>0</v>
      </c>
      <c r="F22">
        <v>0</v>
      </c>
      <c r="G22">
        <v>0</v>
      </c>
      <c r="H22" s="29">
        <f t="shared" si="5"/>
        <v>0</v>
      </c>
    </row>
    <row r="23">
      <c r="B23" s="42"/>
      <c r="H23" s="39"/>
    </row>
    <row r="24" ht="15.75">
      <c r="B24" s="38" t="s">
        <v>2</v>
      </c>
      <c r="H24" s="39"/>
    </row>
    <row r="25">
      <c r="B25" s="40" t="s">
        <v>30</v>
      </c>
      <c r="C25">
        <f>C18+C21</f>
        <v>5</v>
      </c>
      <c r="D25">
        <f>SUM(D18+D21)</f>
        <v>0</v>
      </c>
      <c r="E25">
        <f t="shared" ref="E25:G25" si="6">SUM(E18+E21)</f>
        <v>0</v>
      </c>
      <c r="F25">
        <f t="shared" si="6"/>
        <v>0</v>
      </c>
      <c r="G25">
        <f t="shared" si="6"/>
        <v>0</v>
      </c>
      <c r="H25" s="39">
        <f>SUM(D25:G25)</f>
        <v>0</v>
      </c>
    </row>
    <row r="26" thickBot="1" ht="15">
      <c r="B26" s="43" t="s">
        <v>31</v>
      </c>
      <c r="C26" s="44">
        <f>C19+C22</f>
        <v>198</v>
      </c>
      <c r="D26" s="44">
        <f>D22+D19</f>
        <v>0</v>
      </c>
      <c r="E26" s="44">
        <f t="shared" ref="E26:G26" si="7">E22+E19</f>
        <v>0</v>
      </c>
      <c r="F26" s="44">
        <f t="shared" si="7"/>
        <v>0</v>
      </c>
      <c r="G26" s="44">
        <f t="shared" si="7"/>
        <v>0</v>
      </c>
      <c r="H26" s="45">
        <f>SUM(D26:G26)</f>
        <v>0</v>
      </c>
    </row>
    <row r="28" thickBot="1" ht="15"/>
    <row r="29">
      <c r="D29" t="s">
        <v>32</v>
      </c>
      <c r="H29" t="s">
        <v>33</v>
      </c>
      <c r="I29" t="s">
        <v>34</v>
      </c>
    </row>
    <row r="30" ht="15">
      <c r="D30" s="46" t="s">
        <v>35</v>
      </c>
    </row>
    <row r="31" ht="14.5">
      <c r="D31" s="47" t="s">
        <v>36</v>
      </c>
      <c r="H31" s="48">
        <v>105</v>
      </c>
      <c r="I31" t="s">
        <v>13</v>
      </c>
    </row>
    <row r="32" ht="14.5">
      <c r="D32" s="47" t="s">
        <v>37</v>
      </c>
      <c r="H32" s="49">
        <v>35</v>
      </c>
      <c r="I32" t="s">
        <v>13</v>
      </c>
    </row>
    <row r="33" ht="14.5">
      <c r="D33" s="47" t="s">
        <v>38</v>
      </c>
      <c r="H33" s="49">
        <v>30</v>
      </c>
      <c r="I33" t="s">
        <v>13</v>
      </c>
    </row>
    <row r="34" ht="14.5">
      <c r="D34" s="47" t="s">
        <v>39</v>
      </c>
      <c r="H34" s="49">
        <v>39</v>
      </c>
      <c r="I34" t="s">
        <v>13</v>
      </c>
    </row>
    <row r="35" ht="14.5">
      <c r="D35" s="47" t="s">
        <v>40</v>
      </c>
      <c r="H35" s="49">
        <v>56</v>
      </c>
      <c r="I35" t="s">
        <v>13</v>
      </c>
    </row>
    <row r="36" ht="14.5">
      <c r="D36" s="47" t="s">
        <v>41</v>
      </c>
      <c r="H36" s="49">
        <v>36</v>
      </c>
      <c r="I36" t="s">
        <v>13</v>
      </c>
    </row>
    <row r="37" thickBot="1" ht="15"/>
  </sheetData>
  <mergeCells count="3">
    <mergeCell ref="D14:H14"/>
    <mergeCell ref="C15:C16"/>
    <mergeCell ref="D15:D16"/>
  </mergeCells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15" sqref="F15"/>
    </sheetView>
  </sheetViews>
  <sheetFormatPr defaultRowHeight="14.25"/>
  <cols>
    <col min="3" max="3" width="13.875" style="50" bestFit="1" customWidth="1"/>
    <col min="5" max="5" width="2.125" customWidth="1"/>
    <col min="6" max="6" width="11.125" bestFit="1" customWidth="1"/>
    <col min="12" max="12" width="11.125" bestFit="1" customWidth="1"/>
  </cols>
  <sheetData>
    <row r="1">
      <c r="C1" s="51" t="s">
        <v>42</v>
      </c>
      <c r="D1" s="52"/>
      <c r="E1" s="52"/>
      <c r="F1" s="52"/>
    </row>
    <row r="3">
      <c r="C3" s="50" t="s">
        <v>43</v>
      </c>
      <c r="F3" s="53" t="s">
        <v>44</v>
      </c>
      <c r="I3" t="s">
        <v>45</v>
      </c>
    </row>
    <row r="4">
      <c r="F4" s="53"/>
      <c r="I4" t="s">
        <v>46</v>
      </c>
      <c r="J4" s="54">
        <f>F8/C8</f>
        <v>1.0902225817570541</v>
      </c>
    </row>
    <row r="5" ht="15">
      <c r="B5" t="s">
        <v>47</v>
      </c>
      <c r="C5" s="55">
        <v>6609702.8432021551</v>
      </c>
      <c r="D5" s="54">
        <f>C5/$C$8</f>
        <v>0.74706947240524191</v>
      </c>
      <c r="E5" s="54"/>
      <c r="F5" s="50">
        <v>5926682.0899999999</v>
      </c>
      <c r="G5" s="54">
        <f>F5/F8</f>
        <v>0.61443438805846462</v>
      </c>
      <c r="I5" t="s">
        <v>47</v>
      </c>
      <c r="J5" s="54">
        <f>F5/C5</f>
        <v>0.8966639243238268</v>
      </c>
    </row>
    <row r="6">
      <c r="B6" t="s">
        <v>48</v>
      </c>
      <c r="C6" s="50">
        <v>2237804.7680000002</v>
      </c>
      <c r="D6" s="54">
        <f>C6/$C$8</f>
        <v>0.25293052759475826</v>
      </c>
      <c r="E6" s="54"/>
      <c r="F6" s="50">
        <v>3719070.5</v>
      </c>
      <c r="G6" s="54">
        <f>F6/F8</f>
        <v>0.38556561194153538</v>
      </c>
      <c r="I6" t="s">
        <v>48</v>
      </c>
      <c r="J6" s="54">
        <f>F6/C6</f>
        <v>1.6619280435816819</v>
      </c>
    </row>
    <row r="8">
      <c r="B8" t="s">
        <v>2</v>
      </c>
      <c r="C8" s="50">
        <f>SUM(C5:C7)</f>
        <v>8847507.6112021543</v>
      </c>
      <c r="F8" s="56">
        <f>SUM(F5:F7)</f>
        <v>9645752.5899999999</v>
      </c>
    </row>
    <row r="10">
      <c r="C10" s="52" t="s">
        <v>49</v>
      </c>
      <c r="D10" s="52"/>
      <c r="E10" s="52"/>
      <c r="F10" s="52"/>
    </row>
    <row r="12">
      <c r="C12" s="57" t="s">
        <v>50</v>
      </c>
      <c r="F12" s="58" t="s">
        <v>51</v>
      </c>
      <c r="I12" t="s">
        <v>52</v>
      </c>
    </row>
    <row r="13">
      <c r="F13" s="53"/>
      <c r="I13" t="s">
        <v>46</v>
      </c>
      <c r="J13" s="54">
        <f>F17/C17-1</f>
        <v>0.67530287651150456</v>
      </c>
      <c r="L13" s="56"/>
    </row>
    <row r="14">
      <c r="B14" t="s">
        <v>47</v>
      </c>
      <c r="C14" s="50">
        <v>3495262.3100000001</v>
      </c>
      <c r="D14" s="54">
        <f>C14/C17</f>
        <v>0.60706750950422694</v>
      </c>
      <c r="E14" s="54"/>
      <c r="F14" s="50">
        <v>5926682.0899999999</v>
      </c>
      <c r="G14" s="54">
        <f>F14/F17</f>
        <v>0.61443438805846462</v>
      </c>
      <c r="I14" t="s">
        <v>47</v>
      </c>
      <c r="J14" s="54">
        <f>F14/C14-1</f>
        <v>0.69563299242053156</v>
      </c>
    </row>
    <row r="15">
      <c r="B15" t="s">
        <v>48</v>
      </c>
      <c r="C15" s="50">
        <v>2262354.8500000001</v>
      </c>
      <c r="D15" s="54">
        <f>C15/C17</f>
        <v>0.39293249049577311</v>
      </c>
      <c r="E15" s="54"/>
      <c r="F15" s="50">
        <v>3719070.5</v>
      </c>
      <c r="G15" s="54">
        <f>F15/F17</f>
        <v>0.38556561194153538</v>
      </c>
      <c r="I15" t="s">
        <v>48</v>
      </c>
      <c r="J15" s="54">
        <f>F15/C15-1</f>
        <v>0.64389352978822045</v>
      </c>
    </row>
    <row r="17">
      <c r="B17" t="s">
        <v>2</v>
      </c>
      <c r="C17" s="50">
        <f>SUM(C14:C16)</f>
        <v>5757617.1600000001</v>
      </c>
      <c r="F17" s="56">
        <f>SUM(F14:F16)</f>
        <v>9645752.5899999999</v>
      </c>
    </row>
    <row r="19">
      <c r="C19" s="52" t="s">
        <v>53</v>
      </c>
      <c r="D19" s="52"/>
      <c r="E19" s="52"/>
      <c r="F19" s="52"/>
    </row>
    <row r="21">
      <c r="C21" s="57" t="s">
        <v>54</v>
      </c>
      <c r="F21" s="58" t="s">
        <v>55</v>
      </c>
      <c r="I21" t="s">
        <v>52</v>
      </c>
    </row>
    <row r="22">
      <c r="F22" s="53"/>
      <c r="I22" t="s">
        <v>46</v>
      </c>
      <c r="J22" s="54">
        <f>F26/C26-1</f>
        <v>0.14412756618580391</v>
      </c>
    </row>
    <row r="23" ht="15">
      <c r="B23" t="s">
        <v>56</v>
      </c>
      <c r="C23" s="50">
        <v>45740209</v>
      </c>
      <c r="D23" s="54"/>
      <c r="E23" s="54"/>
      <c r="F23" s="59">
        <v>52332634</v>
      </c>
      <c r="G23" s="54"/>
      <c r="J23" s="54"/>
    </row>
    <row r="24">
      <c r="D24" s="54"/>
      <c r="E24" s="54"/>
      <c r="F24" s="50"/>
      <c r="G24" s="54"/>
      <c r="J24" s="54"/>
    </row>
    <row r="26">
      <c r="B26" t="s">
        <v>2</v>
      </c>
      <c r="C26" s="50">
        <f>SUM(C23:C25)</f>
        <v>45740209</v>
      </c>
      <c r="F26" s="56">
        <f>SUM(F23:F25)</f>
        <v>52332634</v>
      </c>
      <c r="I26" s="54"/>
    </row>
  </sheetData>
  <mergeCells count="3">
    <mergeCell ref="C1:F1"/>
    <mergeCell ref="C10:F10"/>
    <mergeCell ref="C19:F19"/>
  </mergeCell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12" sqref="H12"/>
    </sheetView>
  </sheetViews>
  <sheetFormatPr defaultRowHeight="14.25"/>
  <cols>
    <col min="2" max="2" width="21.125" bestFit="1" customWidth="1"/>
    <col min="3" max="3" width="11.125" bestFit="1" customWidth="1"/>
    <col min="4" max="4" width="10.5" bestFit="1" customWidth="1"/>
    <col min="5" max="5" width="11.125" bestFit="1" customWidth="1"/>
    <col min="8" max="8" width="14.875" bestFit="1" customWidth="1"/>
  </cols>
  <sheetData>
    <row r="2" thickBot="1" ht="15"/>
    <row r="3" thickBot="1" ht="21.5">
      <c r="B3" s="60" t="s">
        <v>57</v>
      </c>
      <c r="C3" s="61"/>
      <c r="D3" s="62"/>
      <c r="E3" s="62"/>
    </row>
    <row r="4" thickBot="1" ht="19">
      <c r="B4" s="63"/>
      <c r="C4" s="64" t="s">
        <v>14</v>
      </c>
      <c r="D4" s="65"/>
      <c r="E4" s="65"/>
    </row>
    <row r="5" thickBot="1" ht="15">
      <c r="B5" s="66"/>
      <c r="C5" s="67"/>
      <c r="D5" s="68"/>
      <c r="E5" s="68"/>
    </row>
    <row r="6" thickBot="1" ht="15">
      <c r="C6" s="69" t="s">
        <v>43</v>
      </c>
      <c r="D6" s="70" t="s">
        <v>58</v>
      </c>
      <c r="E6" s="70"/>
      <c r="F6" s="70"/>
      <c r="G6" s="70"/>
      <c r="H6" s="69" t="s">
        <v>59</v>
      </c>
    </row>
    <row r="7" thickBot="1" ht="16.5">
      <c r="B7" s="71" t="s">
        <v>60</v>
      </c>
      <c r="C7" s="72"/>
      <c r="D7" s="73" t="s">
        <v>61</v>
      </c>
      <c r="E7" s="73" t="s">
        <v>62</v>
      </c>
      <c r="F7" s="73" t="s">
        <v>63</v>
      </c>
      <c r="G7" s="73" t="s">
        <v>64</v>
      </c>
    </row>
    <row r="8" ht="14.5">
      <c r="B8" s="74" t="s">
        <v>65</v>
      </c>
      <c r="C8" s="72">
        <f>Inflow!C30</f>
        <v>12185400</v>
      </c>
      <c r="D8" s="75">
        <f>Inflow!E30</f>
        <v>0</v>
      </c>
      <c r="E8" s="75"/>
      <c r="H8" s="56">
        <f>C8-D8</f>
        <v>12185400</v>
      </c>
    </row>
    <row r="9" ht="14.5">
      <c r="B9" s="74" t="s">
        <v>66</v>
      </c>
      <c r="C9" s="72">
        <f>Inflow!C33</f>
        <v>13000000</v>
      </c>
      <c r="D9" s="72">
        <f>Inflow!E33</f>
        <v>355520</v>
      </c>
      <c r="E9" s="72"/>
      <c r="H9" s="56">
        <f t="shared" ref="H9:H10" si="0">C9-D9</f>
        <v>12644480</v>
      </c>
    </row>
    <row r="10" ht="14.5">
      <c r="B10" s="74" t="s">
        <v>67</v>
      </c>
      <c r="C10" s="72">
        <f>Inflow!C35</f>
        <v>500000</v>
      </c>
      <c r="D10" s="72">
        <f>Inflow!E35</f>
        <v>0</v>
      </c>
      <c r="E10" s="72"/>
      <c r="H10" s="56">
        <f t="shared" si="0"/>
        <v>500000</v>
      </c>
    </row>
    <row r="11" thickBot="1" ht="15">
      <c r="B11" s="74" t="s">
        <v>68</v>
      </c>
      <c r="C11" s="76">
        <f t="shared" ref="C11:H11" si="1">SUM(C8:C10)</f>
        <v>25685400</v>
      </c>
      <c r="D11" s="76">
        <f t="shared" si="1"/>
        <v>355520</v>
      </c>
      <c r="E11" s="76">
        <f t="shared" si="1"/>
        <v>0</v>
      </c>
      <c r="F11" s="76">
        <f t="shared" si="1"/>
        <v>0</v>
      </c>
      <c r="G11" s="76">
        <f t="shared" si="1"/>
        <v>0</v>
      </c>
      <c r="H11" s="76">
        <f t="shared" si="1"/>
        <v>25329880</v>
      </c>
    </row>
    <row r="12" thickBot="1" ht="16.5">
      <c r="B12" s="71" t="s">
        <v>69</v>
      </c>
      <c r="C12" s="72"/>
      <c r="D12" s="73"/>
      <c r="E12" s="73"/>
      <c r="H12" s="50">
        <v>19500000</v>
      </c>
    </row>
    <row r="13" ht="14.5">
      <c r="B13" s="74"/>
      <c r="C13" s="72"/>
      <c r="D13" s="73"/>
      <c r="E13" s="73"/>
    </row>
    <row r="14" thickBot="1" ht="15">
      <c r="B14" s="77"/>
      <c r="C14" s="72"/>
      <c r="D14" s="73"/>
      <c r="E14" s="73"/>
    </row>
    <row r="15" thickBot="1" ht="15">
      <c r="B15" s="74" t="s">
        <v>70</v>
      </c>
      <c r="C15" s="72"/>
      <c r="D15" s="73"/>
      <c r="E15" s="73"/>
      <c r="H15" s="78">
        <f>SUM(C16:C18)</f>
        <v>6263152</v>
      </c>
    </row>
    <row r="16" thickBot="1" ht="15">
      <c r="B16" s="79" t="s">
        <v>71</v>
      </c>
      <c r="C16" s="80">
        <v>5317640</v>
      </c>
    </row>
    <row r="17" thickBot="1" ht="15">
      <c r="B17" s="79" t="s">
        <v>72</v>
      </c>
      <c r="C17" s="80">
        <v>56251</v>
      </c>
    </row>
    <row r="18" thickBot="1" ht="15">
      <c r="B18" s="79" t="s">
        <v>73</v>
      </c>
      <c r="C18" s="81">
        <v>889261</v>
      </c>
    </row>
    <row r="20" ht="14.5">
      <c r="B20" s="82" t="s">
        <v>74</v>
      </c>
      <c r="H20" s="78">
        <f>H11+H15-H12</f>
        <v>12093032</v>
      </c>
    </row>
  </sheetData>
  <mergeCells count="2">
    <mergeCell ref="C4:E4"/>
    <mergeCell ref="D6:G6"/>
  </mergeCell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 topLeftCell="A22">
      <selection activeCell="J40" sqref="J40"/>
    </sheetView>
  </sheetViews>
  <sheetFormatPr defaultRowHeight="14.25"/>
  <cols>
    <col min="2" max="2" width="34.5" bestFit="1" customWidth="1"/>
    <col min="3" max="3" width="11.125" bestFit="1" customWidth="1"/>
    <col min="4" max="4" width="1.75" customWidth="1"/>
    <col min="5" max="5" width="11.125" bestFit="1" customWidth="1"/>
    <col min="6" max="6" width="19.625" customWidth="1"/>
    <col min="7" max="7" width="11.125" bestFit="1" customWidth="1"/>
    <col min="9" max="10" width="11.125" bestFit="1" customWidth="1"/>
  </cols>
  <sheetData>
    <row r="3" thickBot="1" ht="15"/>
    <row r="4" thickBot="1" ht="21.5">
      <c r="B4" s="60" t="s">
        <v>75</v>
      </c>
      <c r="C4" s="61"/>
      <c r="D4" s="83"/>
      <c r="E4" s="62"/>
      <c r="F4" s="62"/>
      <c r="G4" s="62"/>
      <c r="H4" s="62"/>
      <c r="I4" s="62"/>
    </row>
    <row r="5" thickBot="1" ht="19">
      <c r="B5" s="63"/>
      <c r="C5" s="64" t="s">
        <v>76</v>
      </c>
      <c r="D5" s="65"/>
      <c r="E5" s="65"/>
      <c r="F5" s="65"/>
      <c r="G5" s="65"/>
      <c r="H5" s="65"/>
      <c r="I5" s="65"/>
    </row>
    <row r="6" thickBot="1" ht="15">
      <c r="B6" s="66"/>
      <c r="C6" s="67"/>
      <c r="D6" s="67"/>
      <c r="E6" s="84" t="s">
        <v>77</v>
      </c>
      <c r="F6" s="84"/>
      <c r="G6" s="84"/>
      <c r="H6" s="84"/>
      <c r="I6" s="84"/>
      <c r="J6" s="84"/>
    </row>
    <row r="7" thickBot="1" ht="38" customHeight="1">
      <c r="B7" s="71" t="s">
        <v>60</v>
      </c>
      <c r="C7" s="69" t="s">
        <v>43</v>
      </c>
      <c r="D7" s="69"/>
      <c r="E7" s="85" t="s">
        <v>58</v>
      </c>
      <c r="F7" s="85"/>
      <c r="G7" s="85"/>
      <c r="H7" s="85"/>
      <c r="I7" s="86" t="s">
        <v>78</v>
      </c>
      <c r="J7" s="86" t="s">
        <v>68</v>
      </c>
    </row>
    <row r="8" ht="14.5">
      <c r="B8" s="87" t="s">
        <v>79</v>
      </c>
      <c r="C8" s="88"/>
      <c r="D8" s="88"/>
      <c r="E8" s="89" t="s">
        <v>61</v>
      </c>
      <c r="F8" s="89" t="s">
        <v>62</v>
      </c>
      <c r="G8" s="89" t="s">
        <v>63</v>
      </c>
      <c r="H8" s="89" t="s">
        <v>64</v>
      </c>
      <c r="I8" s="89"/>
    </row>
    <row r="9" ht="14.5">
      <c r="B9" s="87" t="s">
        <v>80</v>
      </c>
      <c r="C9" s="88"/>
      <c r="D9" s="88"/>
      <c r="E9" s="89"/>
      <c r="F9" s="89"/>
      <c r="G9" s="89"/>
      <c r="H9" s="89"/>
      <c r="I9" s="89"/>
    </row>
    <row r="10" ht="14.5">
      <c r="B10" s="90" t="s">
        <v>81</v>
      </c>
      <c r="C10" s="91">
        <v>1800000</v>
      </c>
      <c r="D10" s="88"/>
      <c r="E10" s="92"/>
      <c r="F10" s="93"/>
      <c r="G10" s="93"/>
      <c r="H10" s="93"/>
      <c r="I10" s="89">
        <f>C10-E10</f>
        <v>1800000</v>
      </c>
    </row>
    <row r="11" ht="14.5">
      <c r="B11" s="90" t="s">
        <v>82</v>
      </c>
      <c r="C11" s="94">
        <v>500000</v>
      </c>
      <c r="D11" s="88"/>
      <c r="E11" s="92"/>
      <c r="F11" s="93"/>
      <c r="G11" s="93"/>
      <c r="H11" s="93"/>
      <c r="I11" s="89">
        <f t="shared" ref="I11:I30" si="0">C11-E11</f>
        <v>500000</v>
      </c>
    </row>
    <row r="12" ht="14.5">
      <c r="B12" s="95" t="s">
        <v>83</v>
      </c>
      <c r="C12" s="96">
        <v>1000000</v>
      </c>
      <c r="D12" s="88"/>
      <c r="E12" s="97"/>
      <c r="F12" s="93"/>
      <c r="G12" s="93"/>
      <c r="H12" s="93"/>
      <c r="I12" s="89">
        <f t="shared" si="0"/>
        <v>1000000</v>
      </c>
    </row>
    <row r="13" ht="14.5">
      <c r="B13" s="95" t="s">
        <v>84</v>
      </c>
      <c r="C13" s="91">
        <v>750000</v>
      </c>
      <c r="D13" s="88"/>
      <c r="E13" s="97"/>
      <c r="F13" s="93"/>
      <c r="G13" s="93"/>
      <c r="H13" s="93"/>
      <c r="I13" s="89">
        <f t="shared" si="0"/>
        <v>750000</v>
      </c>
    </row>
    <row r="14" ht="14.5">
      <c r="B14" s="90" t="s">
        <v>85</v>
      </c>
      <c r="C14" s="94">
        <v>825000</v>
      </c>
      <c r="D14" s="88"/>
      <c r="E14" s="89"/>
      <c r="F14" s="89"/>
      <c r="G14" s="89"/>
      <c r="H14" s="89"/>
      <c r="I14" s="89">
        <f t="shared" si="0"/>
        <v>825000</v>
      </c>
    </row>
    <row r="15" ht="14.5">
      <c r="B15" s="98" t="s">
        <v>86</v>
      </c>
      <c r="C15" s="96">
        <v>680400</v>
      </c>
      <c r="D15" s="88"/>
      <c r="E15" s="89"/>
      <c r="F15" s="89"/>
      <c r="G15" s="89"/>
      <c r="H15" s="89"/>
      <c r="I15" s="89">
        <f t="shared" si="0"/>
        <v>680400</v>
      </c>
    </row>
    <row r="16" ht="14.5">
      <c r="B16" s="99" t="s">
        <v>87</v>
      </c>
      <c r="C16" s="91">
        <v>1080000</v>
      </c>
      <c r="D16" s="88"/>
      <c r="E16" s="89"/>
      <c r="F16" s="89"/>
      <c r="G16" s="89"/>
      <c r="H16" s="89"/>
      <c r="I16" s="89">
        <f t="shared" si="0"/>
        <v>1080000</v>
      </c>
    </row>
    <row r="17" ht="14.5">
      <c r="I17" s="89">
        <f t="shared" si="0"/>
        <v>0</v>
      </c>
    </row>
    <row r="18" ht="14.5">
      <c r="B18" s="100" t="s">
        <v>88</v>
      </c>
      <c r="C18" s="96">
        <v>5000000</v>
      </c>
      <c r="D18" s="94"/>
      <c r="E18" s="89"/>
      <c r="F18" s="89"/>
      <c r="G18" s="89"/>
      <c r="H18" s="89"/>
      <c r="I18" s="89">
        <f t="shared" si="0"/>
        <v>5000000</v>
      </c>
    </row>
    <row r="19" ht="14.5">
      <c r="I19" s="89">
        <f t="shared" si="0"/>
        <v>0</v>
      </c>
    </row>
    <row r="20" ht="14.5">
      <c r="B20" s="87" t="s">
        <v>89</v>
      </c>
      <c r="C20" s="88">
        <f t="shared" ref="C20" si="1">L20+N20</f>
        <v>0</v>
      </c>
      <c r="D20" s="88"/>
      <c r="E20" s="89"/>
      <c r="F20" s="89"/>
      <c r="G20" s="89"/>
      <c r="H20" s="89"/>
      <c r="I20" s="89">
        <f t="shared" si="0"/>
        <v>0</v>
      </c>
    </row>
    <row r="21" ht="14.5">
      <c r="B21" s="101" t="s">
        <v>90</v>
      </c>
      <c r="C21" s="101">
        <v>300000</v>
      </c>
      <c r="D21" s="88"/>
      <c r="E21" s="97"/>
      <c r="F21" s="93"/>
      <c r="G21" s="93"/>
      <c r="H21" s="93"/>
      <c r="I21" s="89">
        <f t="shared" si="0"/>
        <v>300000</v>
      </c>
    </row>
    <row r="22" ht="14.5">
      <c r="B22" s="101" t="s">
        <v>91</v>
      </c>
      <c r="C22" s="101">
        <v>150000</v>
      </c>
      <c r="D22" s="88"/>
      <c r="E22" s="97"/>
      <c r="F22" s="93"/>
      <c r="G22" s="93"/>
      <c r="H22" s="93"/>
      <c r="I22" s="89">
        <f t="shared" si="0"/>
        <v>150000</v>
      </c>
    </row>
    <row r="23" ht="14.5">
      <c r="B23" s="102"/>
      <c r="C23" s="96"/>
      <c r="D23" s="88"/>
      <c r="E23" s="97"/>
      <c r="F23" s="93"/>
      <c r="G23" s="93"/>
      <c r="H23" s="93"/>
      <c r="I23" s="89">
        <f t="shared" si="0"/>
        <v>0</v>
      </c>
    </row>
    <row r="24" ht="14.5">
      <c r="B24" s="98"/>
      <c r="C24" s="91"/>
      <c r="D24" s="88"/>
      <c r="E24" s="97"/>
      <c r="F24" s="93"/>
      <c r="G24" s="93"/>
      <c r="H24" s="93"/>
      <c r="I24" s="89">
        <f t="shared" si="0"/>
        <v>0</v>
      </c>
    </row>
    <row r="25" ht="14.5">
      <c r="B25" s="99"/>
      <c r="C25" s="94"/>
      <c r="D25" s="88"/>
      <c r="E25" s="92"/>
      <c r="F25" s="93"/>
      <c r="G25" s="93"/>
      <c r="H25" s="93"/>
      <c r="I25" s="89">
        <f t="shared" si="0"/>
        <v>0</v>
      </c>
    </row>
    <row r="26" ht="14.5">
      <c r="B26" s="90"/>
      <c r="C26" s="96"/>
      <c r="D26" s="88"/>
      <c r="E26" s="89"/>
      <c r="F26" s="89"/>
      <c r="G26" s="89"/>
      <c r="H26" s="89"/>
      <c r="I26" s="89">
        <f t="shared" si="0"/>
        <v>0</v>
      </c>
    </row>
    <row r="27" ht="14.5">
      <c r="B27" s="87"/>
      <c r="C27" s="88"/>
      <c r="D27" s="88"/>
      <c r="E27" s="89"/>
      <c r="F27" s="89"/>
      <c r="G27" s="89"/>
      <c r="H27" s="89"/>
      <c r="I27" s="89">
        <f t="shared" si="0"/>
        <v>0</v>
      </c>
    </row>
    <row r="28" ht="14.5">
      <c r="B28" s="87" t="s">
        <v>92</v>
      </c>
      <c r="C28" s="88">
        <v>100000</v>
      </c>
      <c r="D28" s="88"/>
      <c r="E28" s="88">
        <v>0</v>
      </c>
      <c r="F28" s="88"/>
      <c r="G28" s="88"/>
      <c r="H28" s="88"/>
      <c r="I28" s="89">
        <f t="shared" si="0"/>
        <v>100000</v>
      </c>
    </row>
    <row r="29" ht="14.5">
      <c r="B29" s="87"/>
      <c r="C29" s="88"/>
      <c r="D29" s="88"/>
      <c r="E29" s="88"/>
      <c r="F29" s="88"/>
      <c r="G29" s="88"/>
      <c r="H29" s="88"/>
      <c r="I29" s="89">
        <f t="shared" si="0"/>
        <v>0</v>
      </c>
    </row>
    <row r="30" ht="14.5">
      <c r="B30" s="87" t="s">
        <v>93</v>
      </c>
      <c r="C30" s="88">
        <f>SUM(C10:C28)</f>
        <v>12185400</v>
      </c>
      <c r="D30" s="88">
        <f t="shared" ref="D30:H30" si="2">SUM(D10:D28)</f>
        <v>0</v>
      </c>
      <c r="E30" s="88">
        <f t="shared" si="2"/>
        <v>0</v>
      </c>
      <c r="F30" s="88">
        <f t="shared" si="2"/>
        <v>0</v>
      </c>
      <c r="G30" s="88">
        <f t="shared" si="2"/>
        <v>0</v>
      </c>
      <c r="H30" s="88">
        <f t="shared" si="2"/>
        <v>0</v>
      </c>
      <c r="I30" s="89">
        <f t="shared" si="0"/>
        <v>12185400</v>
      </c>
      <c r="J30" s="56">
        <f>E30+I30</f>
        <v>12185400</v>
      </c>
    </row>
    <row r="31" ht="14.5">
      <c r="C31" s="88"/>
      <c r="D31" s="88"/>
      <c r="E31" s="89"/>
      <c r="F31" s="89"/>
      <c r="G31" s="89"/>
      <c r="H31" s="89"/>
      <c r="I31" s="89"/>
    </row>
    <row r="32" ht="14.5">
      <c r="B32" s="87"/>
      <c r="C32" s="88"/>
      <c r="D32" s="88"/>
      <c r="E32" s="89"/>
      <c r="F32" s="89"/>
      <c r="G32" s="89"/>
      <c r="H32" s="89"/>
      <c r="I32" s="89"/>
    </row>
    <row r="33" ht="14.5">
      <c r="B33" s="87" t="s">
        <v>94</v>
      </c>
      <c r="C33" s="103">
        <f>13000000</f>
        <v>13000000</v>
      </c>
      <c r="D33" s="104"/>
      <c r="E33" s="105">
        <v>355520</v>
      </c>
      <c r="F33" s="106"/>
      <c r="G33" s="106"/>
      <c r="H33" s="106"/>
      <c r="I33" s="107">
        <f>C33-E33</f>
        <v>12644480</v>
      </c>
      <c r="J33" s="56"/>
    </row>
    <row r="34" ht="14.5">
      <c r="B34" s="108"/>
      <c r="C34" s="104"/>
      <c r="D34" s="104"/>
      <c r="E34" s="88"/>
      <c r="F34" s="88"/>
      <c r="G34" s="88"/>
      <c r="H34" s="88"/>
      <c r="I34" s="107">
        <f t="shared" ref="I34:I35" si="3">C34-E34</f>
        <v>0</v>
      </c>
      <c r="J34" s="56"/>
    </row>
    <row r="35" ht="14.5">
      <c r="B35" s="108" t="s">
        <v>95</v>
      </c>
      <c r="C35" s="109">
        <v>500000</v>
      </c>
      <c r="D35" s="109"/>
      <c r="E35" s="110">
        <v>0</v>
      </c>
      <c r="F35" s="72"/>
      <c r="G35" s="72"/>
      <c r="H35" s="72"/>
      <c r="I35" s="107">
        <f t="shared" si="3"/>
        <v>500000</v>
      </c>
      <c r="J35" s="56">
        <f>SUM(E35:F35)</f>
        <v>0</v>
      </c>
    </row>
    <row r="36" ht="14.5">
      <c r="B36" s="108"/>
      <c r="C36" s="104"/>
      <c r="D36" s="104"/>
      <c r="E36" s="88"/>
      <c r="F36" s="88"/>
      <c r="G36" s="88"/>
      <c r="H36" s="88"/>
      <c r="I36" s="107"/>
      <c r="J36" s="56"/>
    </row>
    <row r="39" ht="14.5">
      <c r="B39" t="s">
        <v>96</v>
      </c>
      <c r="E39" s="56">
        <f>E35+E33+E30</f>
        <v>355520</v>
      </c>
      <c r="F39" s="56"/>
      <c r="G39" s="56"/>
      <c r="H39" s="56"/>
      <c r="I39" s="56">
        <f>I35+I33+I30</f>
        <v>25329880</v>
      </c>
      <c r="J39" s="56">
        <f>I39+E39</f>
        <v>25685400</v>
      </c>
    </row>
  </sheetData>
  <mergeCells count="2">
    <mergeCell ref="C5:F5"/>
    <mergeCell ref="E6:G6"/>
  </mergeCells>
  <conditionalFormatting sqref="E33">
    <cfRule priority="1" dxfId="0" type="duplicateValues"/>
  </conditionalFormatting>
  <conditionalFormatting sqref="B18">
    <cfRule priority="2" type="colorScale">
      <colorScale>
        <cfvo type="min"/>
        <cfvo type="max"/>
        <color rgb="FFFCFCFF"/>
        <color rgb="FF63BE7B"/>
      </colorScale>
    </cfRule>
    <cfRule priority="3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{AADAB578-7031-458B-8314-E6322535B2A9}</x14:id>
        </ext>
      </extLst>
    </cfRule>
    <cfRule priority="4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{6AEDAFB8-2A96-43CC-932C-CDC8FB0652A8}</x14:id>
        </ext>
      </extLst>
    </cfRule>
    <cfRule priority="5" type="colorScale">
      <colorScale>
        <cfvo type="min"/>
        <cfvo type="max"/>
        <color rgb="FFFCFCFF"/>
        <color rgb="FF63BE7B"/>
      </colorScale>
    </cfRule>
  </conditionalFormatting>
  <conditionalFormatting sqref="B17">
    <cfRule priority="6" type="colorScale">
      <colorScale>
        <cfvo type="min"/>
        <cfvo type="max"/>
        <color rgb="FFFCFCFF"/>
        <color rgb="FF63BE7B"/>
      </colorScale>
    </cfRule>
    <cfRule priority="7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{FB9406A4-E40F-4E2B-AE16-B5CDB0AC1CF7}</x14:id>
        </ext>
      </extLst>
    </cfRule>
    <cfRule priority="8" type="dataBar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{BB90D1AD-CA1D-4F2F-A0E8-B9E0FEFD35B6}</x14:id>
        </ext>
      </extLst>
    </cfRule>
    <cfRule priority="9" type="colorScale">
      <colorScale>
        <cfvo type="min"/>
        <cfvo type="max"/>
        <color rgb="FFFCFCFF"/>
        <color rgb="FF63BE7B"/>
      </colorScale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AADAB578-7031-458B-8314-E6322535B2A9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6AEDAFB8-2A96-43CC-932C-CDC8FB0652A8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  <x14:conditionalFormatting xmlns:xm="http://schemas.microsoft.com/office/excel/2006/main">
          <x14:cfRule id="{FB9406A4-E40F-4E2B-AE16-B5CDB0AC1CF7}" type="dataBar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id="{BB90D1AD-CA1D-4F2F-A0E8-B9E0FEFD35B6}" type="dataBar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</x14:conditionalFormattings>
    </ext>
  </extLst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K13" sqref="K13"/>
    </sheetView>
  </sheetViews>
  <sheetFormatPr defaultRowHeight="14.25"/>
  <cols>
    <col min="3" max="3" width="12.375" bestFit="1" customWidth="1"/>
    <col min="4" max="4" width="9.625" bestFit="1" customWidth="1"/>
    <col min="9" max="9" width="11.125" bestFit="1" customWidth="1"/>
    <col min="14" max="14" width="11.125" bestFit="1" customWidth="1"/>
  </cols>
  <sheetData>
    <row r="5" ht="14.5">
      <c r="C5" t="s">
        <v>97</v>
      </c>
      <c r="D5" s="50">
        <v>400000</v>
      </c>
      <c r="F5" s="111" t="s">
        <v>98</v>
      </c>
      <c r="G5" s="72"/>
      <c r="H5" s="73"/>
      <c r="I5" s="72">
        <v>10600000</v>
      </c>
      <c r="K5" s="111" t="s">
        <v>98</v>
      </c>
      <c r="L5" s="72"/>
      <c r="M5" s="73"/>
      <c r="N5" s="72">
        <v>11000000</v>
      </c>
    </row>
    <row r="6" ht="14.5">
      <c r="C6" t="s">
        <v>99</v>
      </c>
      <c r="D6" s="50">
        <v>200000</v>
      </c>
      <c r="F6" s="111" t="s">
        <v>100</v>
      </c>
      <c r="G6" s="72"/>
      <c r="H6" s="73"/>
      <c r="I6" s="72">
        <v>124266</v>
      </c>
      <c r="K6" s="111" t="s">
        <v>100</v>
      </c>
      <c r="L6" s="72"/>
      <c r="M6" s="73"/>
      <c r="N6" s="72">
        <v>124266</v>
      </c>
    </row>
    <row r="7" ht="14.5">
      <c r="C7" t="s">
        <v>101</v>
      </c>
      <c r="D7" s="50">
        <v>300000</v>
      </c>
      <c r="F7" s="111" t="s">
        <v>102</v>
      </c>
      <c r="G7" s="72"/>
      <c r="H7" s="73"/>
      <c r="I7" s="72">
        <v>500000</v>
      </c>
      <c r="K7" s="111" t="s">
        <v>102</v>
      </c>
      <c r="L7" s="72"/>
      <c r="M7" s="73"/>
      <c r="N7" s="72">
        <v>500000</v>
      </c>
    </row>
    <row r="8" ht="14.5">
      <c r="C8" t="s">
        <v>103</v>
      </c>
      <c r="D8" s="50">
        <f>350000*0</f>
        <v>0</v>
      </c>
      <c r="F8" s="111" t="s">
        <v>104</v>
      </c>
      <c r="G8" s="72"/>
      <c r="H8" s="73"/>
      <c r="I8" s="72">
        <v>500000</v>
      </c>
      <c r="K8" s="111" t="s">
        <v>104</v>
      </c>
      <c r="L8" s="72"/>
      <c r="M8" s="73"/>
      <c r="N8" s="72">
        <v>500000</v>
      </c>
    </row>
    <row r="9" ht="14.5">
      <c r="C9" t="s">
        <v>105</v>
      </c>
      <c r="D9" s="50">
        <v>350000</v>
      </c>
      <c r="F9" s="111" t="s">
        <v>106</v>
      </c>
      <c r="G9" s="72"/>
      <c r="H9" s="73"/>
      <c r="I9" s="72">
        <v>2000000</v>
      </c>
      <c r="K9" s="112" t="s">
        <v>107</v>
      </c>
      <c r="N9" s="72">
        <v>500000</v>
      </c>
    </row>
    <row r="10" ht="14.5">
      <c r="C10" t="s">
        <v>108</v>
      </c>
      <c r="D10" s="50"/>
      <c r="F10" s="111" t="s">
        <v>109</v>
      </c>
      <c r="G10" s="72"/>
      <c r="H10" s="73"/>
      <c r="I10" s="72">
        <v>916634.44999999995</v>
      </c>
      <c r="K10" s="112" t="s">
        <v>110</v>
      </c>
      <c r="N10" s="72">
        <v>361000</v>
      </c>
    </row>
    <row r="11" ht="14.5">
      <c r="C11" t="s">
        <v>111</v>
      </c>
      <c r="D11" s="50"/>
      <c r="K11" s="112" t="s">
        <v>112</v>
      </c>
      <c r="N11" s="72">
        <v>500000</v>
      </c>
    </row>
    <row r="12" ht="14.5">
      <c r="C12" t="s">
        <v>113</v>
      </c>
      <c r="D12" s="50">
        <v>100000</v>
      </c>
      <c r="K12" s="112" t="s">
        <v>114</v>
      </c>
      <c r="N12" s="72">
        <v>200000</v>
      </c>
    </row>
    <row r="13" ht="14.5">
      <c r="C13" t="s">
        <v>115</v>
      </c>
      <c r="D13" s="50">
        <v>200000</v>
      </c>
      <c r="I13" s="56">
        <f>SUM(I5:I12)</f>
        <v>14640900.449999999</v>
      </c>
      <c r="N13" s="56">
        <f>SUM(N5:N12)</f>
        <v>13685266</v>
      </c>
    </row>
    <row r="14" ht="14.5">
      <c r="C14" t="s">
        <v>116</v>
      </c>
      <c r="D14" s="50">
        <v>100000</v>
      </c>
    </row>
    <row r="16" ht="14.5">
      <c r="D16" s="56">
        <f>SUM(D5:D15)</f>
        <v>1650000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Nazim Sait Arif</dc:creator>
  <cp:lastModifiedBy>LAPTOP-A6EA9Q1N\Acer</cp:lastModifiedBy>
  <dcterms:created xsi:type="dcterms:W3CDTF">2026-03-27T10:47:14Z</dcterms:created>
  <dcterms:modified xsi:type="dcterms:W3CDTF">2026-04-05T11:59:28Z</dcterms:modified>
</cp:coreProperties>
</file>