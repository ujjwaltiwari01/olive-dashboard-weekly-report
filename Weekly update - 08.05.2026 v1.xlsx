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8054BBAD-93BD-4392-B96E-C303FC6BAFCD}" xr6:coauthVersionLast="47" xr6:coauthVersionMax="47" xr10:uidLastSave="{00000000-0000-0000-0000-000000000000}"/>
  <bookViews>
    <workbookView xWindow="-110" yWindow="-110" windowWidth="19420" windowHeight="11500" activeTab="4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working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  <c r="D28" i="3"/>
  <c r="C26" i="3"/>
  <c r="H25" i="3"/>
  <c r="C27" i="3"/>
  <c r="E27" i="3" s="1"/>
  <c r="D27" i="3"/>
  <c r="G17" i="3"/>
  <c r="C17" i="3"/>
  <c r="H14" i="3"/>
  <c r="C25" i="3"/>
  <c r="D25" i="3" s="1"/>
  <c r="J12" i="4"/>
  <c r="J27" i="5"/>
  <c r="C27" i="5"/>
  <c r="D24" i="2"/>
  <c r="D23" i="2"/>
  <c r="J23" i="2"/>
  <c r="J24" i="2"/>
  <c r="J25" i="2"/>
  <c r="J26" i="2"/>
  <c r="J27" i="2"/>
  <c r="J30" i="2"/>
  <c r="J31" i="2"/>
  <c r="P10" i="2"/>
  <c r="H27" i="3" l="1"/>
  <c r="E26" i="3"/>
  <c r="Q15" i="2" l="1"/>
  <c r="Q16" i="2"/>
  <c r="R11" i="2"/>
  <c r="R10" i="2"/>
  <c r="Q7" i="2"/>
  <c r="Q8" i="2"/>
  <c r="R5" i="2"/>
  <c r="Q3" i="2"/>
  <c r="P18" i="7"/>
  <c r="P19" i="7"/>
  <c r="Q14" i="7"/>
  <c r="Q13" i="7"/>
  <c r="Q8" i="7"/>
  <c r="Q3" i="7"/>
  <c r="D61" i="6" l="1"/>
  <c r="D59" i="6"/>
  <c r="C14" i="3" l="1"/>
  <c r="G14" i="3"/>
  <c r="D14" i="3"/>
  <c r="G6" i="3"/>
  <c r="F6" i="3"/>
  <c r="E6" i="3"/>
  <c r="D6" i="3"/>
  <c r="C6" i="3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10" i="5"/>
  <c r="K10" i="5" s="1"/>
  <c r="F8" i="4" l="1"/>
  <c r="F31" i="5"/>
  <c r="J29" i="5"/>
  <c r="K29" i="5" s="1"/>
  <c r="K28" i="5"/>
  <c r="K26" i="5"/>
  <c r="K30" i="5"/>
  <c r="J24" i="5"/>
  <c r="K24" i="5" s="1"/>
  <c r="I25" i="5"/>
  <c r="H25" i="5"/>
  <c r="G8" i="4" s="1"/>
  <c r="G25" i="5"/>
  <c r="F25" i="5"/>
  <c r="E8" i="4" s="1"/>
  <c r="E25" i="5"/>
  <c r="D8" i="4" s="1"/>
  <c r="D25" i="5"/>
  <c r="D31" i="5" s="1"/>
  <c r="C25" i="5"/>
  <c r="E15" i="2"/>
  <c r="F15" i="2"/>
  <c r="G15" i="2"/>
  <c r="H15" i="2"/>
  <c r="I15" i="2"/>
  <c r="J15" i="2"/>
  <c r="K15" i="2"/>
  <c r="L15" i="2"/>
  <c r="M15" i="2"/>
  <c r="N15" i="2"/>
  <c r="O15" i="2"/>
  <c r="E16" i="2"/>
  <c r="F16" i="2"/>
  <c r="G16" i="2"/>
  <c r="H16" i="2"/>
  <c r="I16" i="2"/>
  <c r="J16" i="2"/>
  <c r="K16" i="2"/>
  <c r="L16" i="2"/>
  <c r="M16" i="2"/>
  <c r="N16" i="2"/>
  <c r="O16" i="2"/>
  <c r="D16" i="2"/>
  <c r="D15" i="2"/>
  <c r="C15" i="2"/>
  <c r="P16" i="2"/>
  <c r="B21" i="7"/>
  <c r="C21" i="7" s="1"/>
  <c r="D21" i="7" s="1"/>
  <c r="B20" i="7"/>
  <c r="C18" i="7"/>
  <c r="C20" i="7" s="1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D18" i="7"/>
  <c r="E18" i="7"/>
  <c r="F18" i="7"/>
  <c r="G18" i="7"/>
  <c r="H18" i="7"/>
  <c r="I18" i="7"/>
  <c r="J18" i="7"/>
  <c r="K18" i="7"/>
  <c r="L18" i="7"/>
  <c r="M18" i="7"/>
  <c r="N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B19" i="7"/>
  <c r="B18" i="7"/>
  <c r="I29" i="7"/>
  <c r="I30" i="7"/>
  <c r="I28" i="7"/>
  <c r="E31" i="5" l="1"/>
  <c r="J25" i="5"/>
  <c r="J31" i="5" s="1"/>
  <c r="C17" i="2"/>
  <c r="D17" i="2" s="1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E21" i="7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C8" i="4"/>
  <c r="H8" i="4"/>
  <c r="K25" i="5" l="1"/>
  <c r="I8" i="4"/>
  <c r="G31" i="5"/>
  <c r="K27" i="5" l="1"/>
  <c r="C31" i="5"/>
  <c r="J8" i="4"/>
  <c r="H31" i="5"/>
  <c r="P15" i="2"/>
  <c r="H9" i="4" l="1"/>
  <c r="H11" i="4" s="1"/>
  <c r="I31" i="5"/>
  <c r="R15" i="2"/>
  <c r="P17" i="2"/>
  <c r="Q17" i="2" s="1"/>
  <c r="E10" i="4"/>
  <c r="F10" i="4"/>
  <c r="G10" i="4"/>
  <c r="D10" i="4"/>
  <c r="E9" i="4"/>
  <c r="E11" i="4" s="1"/>
  <c r="F9" i="4"/>
  <c r="F11" i="4" s="1"/>
  <c r="G9" i="4"/>
  <c r="G11" i="4" s="1"/>
  <c r="D9" i="4"/>
  <c r="I9" i="4" l="1"/>
  <c r="D11" i="4"/>
  <c r="R17" i="2"/>
  <c r="I10" i="4"/>
  <c r="O4" i="7"/>
  <c r="Q4" i="7" s="1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Q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B10" i="7"/>
  <c r="O9" i="7"/>
  <c r="Q9" i="7" s="1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B5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I11" i="4" l="1"/>
  <c r="Q18" i="7"/>
  <c r="O18" i="7"/>
  <c r="O20" i="7" s="1"/>
  <c r="P20" i="7" s="1"/>
  <c r="O5" i="7"/>
  <c r="P5" i="7" s="1"/>
  <c r="Q5" i="7" s="1"/>
  <c r="O10" i="7"/>
  <c r="P10" i="7" s="1"/>
  <c r="Q10" i="7" s="1"/>
  <c r="K31" i="5"/>
  <c r="Q16" i="7"/>
  <c r="O15" i="7"/>
  <c r="Q19" i="7"/>
  <c r="Q21" i="7" s="1"/>
  <c r="Q15" i="7" l="1"/>
  <c r="P15" i="7"/>
  <c r="Q20" i="7"/>
  <c r="C9" i="4"/>
  <c r="J9" i="4" s="1"/>
  <c r="J15" i="4" l="1"/>
  <c r="J20" i="4" s="1"/>
  <c r="D30" i="2"/>
  <c r="D31" i="2"/>
  <c r="S10" i="2" l="1"/>
  <c r="C31" i="2" l="1"/>
  <c r="C30" i="2"/>
  <c r="N13" i="6" l="1"/>
  <c r="D8" i="6" l="1"/>
  <c r="D16" i="6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R6" i="2"/>
  <c r="C8" i="2"/>
  <c r="I13" i="6"/>
  <c r="R13" i="2" l="1"/>
  <c r="Q13" i="2"/>
  <c r="D8" i="2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C16" i="2"/>
  <c r="R8" i="2"/>
  <c r="R16" i="2" l="1"/>
  <c r="C18" i="2"/>
  <c r="D18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C10" i="4"/>
  <c r="J10" i="4" s="1"/>
  <c r="J11" i="4" s="1"/>
  <c r="C12" i="2"/>
  <c r="D12" i="2" s="1"/>
  <c r="C7" i="2"/>
  <c r="D7" i="2" s="1"/>
  <c r="R18" i="2" l="1"/>
  <c r="C11" i="4"/>
  <c r="E12" i="2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F12" i="2" l="1"/>
  <c r="R7" i="2"/>
  <c r="P7" i="2"/>
  <c r="G12" i="2" l="1"/>
  <c r="H12" i="2" l="1"/>
  <c r="I12" i="2" l="1"/>
  <c r="J12" i="2" l="1"/>
  <c r="K12" i="2" l="1"/>
  <c r="L12" i="2" l="1"/>
  <c r="M12" i="2" l="1"/>
  <c r="N12" i="2" l="1"/>
  <c r="O12" i="2" l="1"/>
  <c r="P12" i="2" l="1"/>
  <c r="Q12" i="2" s="1"/>
  <c r="S16" i="2"/>
  <c r="R12" i="2" l="1"/>
  <c r="E2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Q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  <author>tc={9B401113-51F6-4FAD-938E-C692C95329F5}</author>
  </authors>
  <commentList>
    <comment ref="R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R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R17" authorId="2" shapeId="0" xr:uid="{9B401113-51F6-4FAD-938E-C692C95329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<sst xmlns="http://schemas.openxmlformats.org/spreadsheetml/2006/main" count="296" uniqueCount="195">
  <si>
    <t>Total Keys</t>
  </si>
  <si>
    <t>Total Properties</t>
  </si>
  <si>
    <t>OLIVE</t>
  </si>
  <si>
    <t>SPARK</t>
  </si>
  <si>
    <t>OPEN</t>
  </si>
  <si>
    <t>Total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</si>
  <si>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</si>
  <si>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</si>
  <si>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</si>
  <si>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</si>
  <si>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</si>
  <si>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</si>
  <si>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</si>
  <si>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</si>
  <si>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</si>
  <si>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Online</t>
  </si>
  <si>
    <t>Inflow</t>
  </si>
  <si>
    <t>Received</t>
  </si>
  <si>
    <t>TA fees</t>
  </si>
  <si>
    <t>Management fees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</si>
  <si>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</si>
  <si>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</si>
  <si>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</si>
  <si>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</si>
  <si>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</si>
  <si>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</si>
  <si>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</si>
  <si>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</si>
  <si>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</si>
  <si>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</si>
  <si>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</si>
  <si>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</si>
  <si>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</si>
  <si>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</si>
  <si>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</si>
  <si>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</si>
  <si>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</si>
  <si>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</si>
  <si>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</si>
  <si>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</si>
  <si>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</si>
  <si>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</si>
  <si>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</si>
  <si>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</si>
  <si>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b) Olive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</si>
  <si>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</si>
  <si>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</si>
  <si>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</si>
  <si>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</si>
  <si>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</si>
  <si>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</si>
  <si>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</si>
  <si>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</si>
  <si>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</si>
  <si>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</si>
  <si>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</si>
  <si>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Cashflow - Breakdown</t>
  </si>
  <si>
    <t>Overall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</si>
  <si>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</si>
  <si>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</si>
  <si>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</si>
  <si>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</si>
  <si>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</si>
  <si>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</si>
  <si>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</si>
  <si>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</si>
  <si>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</si>
  <si>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</si>
  <si>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</si>
  <si>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Total properties</t>
  </si>
  <si>
    <t>Total keys</t>
  </si>
  <si>
    <t>March'26</t>
  </si>
  <si>
    <t>Bengaluru - Spark - Sheshadripuram</t>
  </si>
  <si>
    <t>Chakan</t>
  </si>
  <si>
    <t>Spark Junagad</t>
  </si>
  <si>
    <t xml:space="preserve"> Banjaara Hills</t>
  </si>
  <si>
    <t>Portfolio Update:</t>
  </si>
  <si>
    <t>April</t>
  </si>
  <si>
    <t>Hulimavu, Bangalore</t>
  </si>
  <si>
    <t>Nagavara, Bangalore</t>
  </si>
  <si>
    <t>JP Nagar, Bangalore</t>
  </si>
  <si>
    <t>Olive Yelahanka near BMSIT BLR</t>
  </si>
  <si>
    <t>Andheri - Le Grande</t>
  </si>
  <si>
    <t>Olive Bharatpur</t>
  </si>
  <si>
    <t>Handover date</t>
  </si>
  <si>
    <t>Go-live date</t>
  </si>
  <si>
    <t>Calangute, Goa</t>
  </si>
  <si>
    <t>Monday, June 15th 2026</t>
  </si>
  <si>
    <t>Nagarjuna/Marathahalli, Bangalore</t>
  </si>
  <si>
    <t>Friday, June 5th 2026</t>
  </si>
  <si>
    <t>Olive Sector 57 GUR</t>
  </si>
  <si>
    <t>Thursday, June 18th 2026</t>
  </si>
  <si>
    <t>Vizag, AP</t>
  </si>
  <si>
    <t>Friday, May 15th 2026</t>
  </si>
  <si>
    <t>30th June 2026</t>
  </si>
  <si>
    <t>30th May 2026</t>
  </si>
  <si>
    <t>20th June 2026</t>
  </si>
  <si>
    <t>3rd July 2026</t>
  </si>
  <si>
    <t>To be collected</t>
  </si>
  <si>
    <t>Short stay</t>
  </si>
  <si>
    <t>Long stay</t>
  </si>
  <si>
    <t>Week 5</t>
  </si>
  <si>
    <t>2. Spark</t>
  </si>
  <si>
    <t>W5</t>
  </si>
  <si>
    <t>Excess/Deficit (Expected outflow - current balance)</t>
  </si>
  <si>
    <t>Olive Cumulative Properties</t>
  </si>
  <si>
    <t>Olive Cumulative keys</t>
  </si>
  <si>
    <t>Spark Cumulative properties</t>
  </si>
  <si>
    <t>Spark Cumulative keys</t>
  </si>
  <si>
    <t>Open Cumulative properties</t>
  </si>
  <si>
    <t>Open Cumulative keys</t>
  </si>
  <si>
    <t>Overall Cumulative properties</t>
  </si>
  <si>
    <t>Overall Cumulative keys</t>
  </si>
  <si>
    <t>Open Cumulative Keys</t>
  </si>
  <si>
    <t>Open Cumulative Properties</t>
  </si>
  <si>
    <t>Overall Cumulative Keys</t>
  </si>
  <si>
    <t>Overall Cumulative Properties</t>
  </si>
  <si>
    <t>Spark Navsari</t>
  </si>
  <si>
    <t>Olive Dehradun</t>
  </si>
  <si>
    <t>Jan '26</t>
  </si>
  <si>
    <t>Feb'26</t>
  </si>
  <si>
    <t>Mar'26</t>
  </si>
  <si>
    <t>Apr'26</t>
  </si>
  <si>
    <t>Property Revenue - Trend</t>
  </si>
  <si>
    <t>8th May '26</t>
  </si>
  <si>
    <t>8th April' 26</t>
  </si>
  <si>
    <t>8th May '25</t>
  </si>
  <si>
    <t xml:space="preserve">Property Revenue - vs MoM, vs YoY </t>
  </si>
  <si>
    <t>Property Revenue - Online vs Offline and OTA vs OBE- 8th May '26</t>
  </si>
  <si>
    <t>OBE</t>
  </si>
  <si>
    <t>OTAs</t>
  </si>
  <si>
    <t>Walk-ins</t>
  </si>
  <si>
    <t>Corporate</t>
  </si>
  <si>
    <t>Property Name</t>
  </si>
  <si>
    <t>May26_Revenue(Forecast)</t>
  </si>
  <si>
    <t>Olive Magrath</t>
  </si>
  <si>
    <t>Olive Indiranagar</t>
  </si>
  <si>
    <t>Olive RHR</t>
  </si>
  <si>
    <t>Olive Kor 100Ft Road</t>
  </si>
  <si>
    <t>Olive Kalyan Nagar</t>
  </si>
  <si>
    <t>Olive BTM Layout</t>
  </si>
  <si>
    <t>Olive Calangute Niwasa</t>
  </si>
  <si>
    <t>Olive Richmond Circle</t>
  </si>
  <si>
    <t>Olive Electronic City</t>
  </si>
  <si>
    <t>Olive Indiranagar Metro</t>
  </si>
  <si>
    <t>Olive MG Road</t>
  </si>
  <si>
    <t>Olive Calangute Mira</t>
  </si>
  <si>
    <t>Olive JP Nagar</t>
  </si>
  <si>
    <t>Olive Indiranagar 100ft Road</t>
  </si>
  <si>
    <t>Olive Domlur</t>
  </si>
  <si>
    <t>Olive Palace Road</t>
  </si>
  <si>
    <t>Olive Hebbal</t>
  </si>
  <si>
    <t>BLVD Club</t>
  </si>
  <si>
    <t>Olive Hotel Brookefield</t>
  </si>
  <si>
    <t>Olive Kor 4th Block</t>
  </si>
  <si>
    <t>Olive Millers Road</t>
  </si>
  <si>
    <t>Olive Alidia Beach Resort</t>
  </si>
  <si>
    <t>Olive Benz Circle</t>
  </si>
  <si>
    <t>Olive Kundalahalli</t>
  </si>
  <si>
    <t>Olive Sanjay Nagar</t>
  </si>
  <si>
    <t>Olive Mahadevapura</t>
  </si>
  <si>
    <t>Open Hotel - Moka</t>
  </si>
  <si>
    <t>Olive Dairy Circle</t>
  </si>
  <si>
    <t>Olive Hotel Hoodi</t>
  </si>
  <si>
    <t>Olive Hotel Chikkamagalur</t>
  </si>
  <si>
    <t>Olive Hotel Hitech City by Embassy Group</t>
  </si>
  <si>
    <t>Olive Hotel Rajajinagar by Embassy Group</t>
  </si>
  <si>
    <t>Olive Hotel Wakad by Embassy Group</t>
  </si>
  <si>
    <t>Olive Hotel Hosa Road Metro by Embassy Group</t>
  </si>
  <si>
    <t>Olive Hotel Baner - by Embassy Group</t>
  </si>
  <si>
    <t>Olive Hotel Hosa Road by Embassy Group</t>
  </si>
  <si>
    <t>Olive Hotel Airport Road - Yelahanka by Embassy Group</t>
  </si>
  <si>
    <t>May '26</t>
  </si>
  <si>
    <t>1. Olive Brand:</t>
  </si>
  <si>
    <t>Dehradun (MA) : 30 keys</t>
  </si>
  <si>
    <t>Thane (LOI) : 60 keys</t>
  </si>
  <si>
    <t xml:space="preserve">Operational Properties – NIL
</t>
  </si>
  <si>
    <t></t>
  </si>
  <si>
    <t>Task Name</t>
  </si>
  <si>
    <t>Hotel TYPE</t>
  </si>
  <si>
    <t>Status</t>
  </si>
  <si>
    <t>HOTO-Handover Takeover (date)</t>
  </si>
  <si>
    <t>in progress</t>
  </si>
  <si>
    <t>Monday, June15th 2026</t>
  </si>
  <si>
    <t>Tuesday, May 12th 2026</t>
  </si>
  <si>
    <t>Wednesday, May 20th 2026</t>
  </si>
  <si>
    <t>May '26 WIP</t>
  </si>
  <si>
    <t>27th May 2026</t>
  </si>
  <si>
    <t>5th June 2026</t>
  </si>
  <si>
    <t>Spark Thane</t>
  </si>
  <si>
    <t>Cheque collected. Deposit date - 11/05/2026</t>
  </si>
  <si>
    <t>Outflow - expected (Reimbursements + Application fees + PF + TDS + GST +Sundries)</t>
  </si>
  <si>
    <t>Achievement</t>
  </si>
  <si>
    <t>%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</si>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</sst>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242424"/>
      <name val="FluentSystemIcons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8E8E8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5" fillId="6" borderId="6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164" fontId="17" fillId="11" borderId="0" xfId="0" applyNumberFormat="1" applyFont="1" applyFill="1" applyAlignment="1">
      <alignment horizontal="left"/>
    </xf>
    <xf numFmtId="0" fontId="5" fillId="6" borderId="25" xfId="0" applyFont="1" applyFill="1" applyBorder="1" applyAlignment="1">
      <alignment vertical="center"/>
    </xf>
    <xf numFmtId="0" fontId="5" fillId="6" borderId="28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29" xfId="0" applyFont="1" applyFill="1" applyBorder="1" applyAlignment="1">
      <alignment horizontal="left"/>
    </xf>
    <xf numFmtId="164" fontId="13" fillId="7" borderId="30" xfId="1" applyNumberFormat="1" applyFont="1" applyFill="1" applyBorder="1" applyAlignment="1">
      <alignment horizontal="right"/>
    </xf>
    <xf numFmtId="0" fontId="13" fillId="7" borderId="31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0" fontId="18" fillId="0" borderId="0" xfId="0" applyFont="1" applyAlignment="1">
      <alignment horizontal="left" vertical="center" wrapText="1" inden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17" fillId="0" borderId="0" xfId="0" applyNumberFormat="1" applyFont="1" applyAlignment="1">
      <alignment horizontal="left"/>
    </xf>
    <xf numFmtId="3" fontId="0" fillId="0" borderId="0" xfId="0" applyNumberFormat="1"/>
    <xf numFmtId="165" fontId="12" fillId="0" borderId="9" xfId="1" applyNumberFormat="1" applyFont="1" applyFill="1" applyBorder="1" applyAlignment="1"/>
    <xf numFmtId="164" fontId="12" fillId="0" borderId="9" xfId="1" applyNumberFormat="1" applyFont="1" applyFill="1" applyBorder="1" applyAlignment="1"/>
    <xf numFmtId="0" fontId="20" fillId="6" borderId="0" xfId="0" applyFont="1" applyFill="1" applyAlignment="1">
      <alignment vertical="center" wrapText="1"/>
    </xf>
    <xf numFmtId="164" fontId="13" fillId="7" borderId="9" xfId="1" applyNumberFormat="1" applyFont="1" applyFill="1" applyBorder="1" applyAlignment="1">
      <alignment horizontal="right" wrapText="1"/>
    </xf>
    <xf numFmtId="43" fontId="0" fillId="0" borderId="0" xfId="1" applyFont="1"/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3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23" fillId="13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top" wrapText="1"/>
    </xf>
    <xf numFmtId="0" fontId="24" fillId="0" borderId="0" xfId="0" applyFont="1" applyAlignment="1">
      <alignment horizontal="center" wrapText="1"/>
    </xf>
    <xf numFmtId="3" fontId="24" fillId="14" borderId="0" xfId="0" applyNumberFormat="1" applyFont="1" applyFill="1" applyAlignment="1">
      <alignment horizontal="center"/>
    </xf>
    <xf numFmtId="0" fontId="0" fillId="6" borderId="24" xfId="0" applyFill="1" applyBorder="1" applyAlignment="1">
      <alignment vertical="center"/>
    </xf>
    <xf numFmtId="0" fontId="5" fillId="6" borderId="26" xfId="0" applyFont="1" applyFill="1" applyBorder="1" applyAlignment="1">
      <alignment vertical="center"/>
    </xf>
    <xf numFmtId="0" fontId="5" fillId="6" borderId="32" xfId="0" applyFont="1" applyFill="1" applyBorder="1" applyAlignment="1">
      <alignment vertical="center"/>
    </xf>
    <xf numFmtId="0" fontId="5" fillId="6" borderId="33" xfId="0" applyFont="1" applyFill="1" applyBorder="1" applyAlignment="1">
      <alignment vertical="center"/>
    </xf>
    <xf numFmtId="0" fontId="4" fillId="6" borderId="34" xfId="0" applyFont="1" applyFill="1" applyBorder="1" applyAlignment="1">
      <alignment horizontal="right" vertical="center"/>
    </xf>
    <xf numFmtId="0" fontId="0" fillId="0" borderId="1" xfId="0" applyBorder="1" applyAlignment="1">
      <alignment wrapText="1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vertical="center" wrapText="1"/>
    </xf>
    <xf numFmtId="0" fontId="20" fillId="15" borderId="40" xfId="0" applyFont="1" applyFill="1" applyBorder="1" applyAlignment="1">
      <alignment vertical="center" wrapText="1"/>
    </xf>
    <xf numFmtId="0" fontId="20" fillId="15" borderId="41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64" fontId="12" fillId="0" borderId="4" xfId="1" applyNumberFormat="1" applyFont="1" applyFill="1" applyBorder="1" applyAlignment="1">
      <alignment horizontal="right"/>
    </xf>
    <xf numFmtId="9" fontId="0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6-03-27T10:53:37.60" personId="{2D775E0F-25EB-4869-B64A-5FF516290769}" id="{4E6556D2-0A2F-4971-8F63-C779A68B9485}">
    <text xml:space="preserve">Control
</text>
  </threadedComment>
  <threadedComment ref="Q10" dT="2026-03-27T10:53:37.60" personId="{2D775E0F-25EB-4869-B64A-5FF516290769}" id="{9CFB65C3-A491-4F49-9291-182949A32499}">
    <text xml:space="preserve">Control
</text>
  </threadedComment>
  <threadedComment ref="Q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7" dT="2026-03-27T10:53:37.60" personId="{2D775E0F-25EB-4869-B64A-5FF516290769}" id="{CADE0C93-7C6B-4A65-9638-5BC952EBAF60}">
    <text xml:space="preserve">Control
</text>
  </threadedComment>
  <threadedComment ref="R12" dT="2026-03-27T10:53:37.60" personId="{2D775E0F-25EB-4869-B64A-5FF516290769}" id="{93627DF0-F0EC-4D87-801B-760854F3EFE9}">
    <text xml:space="preserve">Control
</text>
  </threadedComment>
  <threadedComment ref="R17" dT="2026-03-27T10:53:37.60" personId="{2D775E0F-25EB-4869-B64A-5FF516290769}" id="{9B401113-51F6-4FAD-938E-C692C95329F5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Q42"/>
  <sheetViews>
    <sheetView topLeftCell="A19" workbookViewId="0">
      <selection activeCell="A40" sqref="A40"/>
    </sheetView>
  </sheetViews>
  <sheetFormatPr defaultRowHeight="14.5"/>
  <cols>
    <col min="1" max="1" width="32.36328125" customWidth="1"/>
    <col min="2" max="2" width="14.08984375" bestFit="1" customWidth="1"/>
    <col min="3" max="3" width="9.54296875" bestFit="1" customWidth="1"/>
  </cols>
  <sheetData>
    <row r="1" spans="1:17">
      <c r="B1" s="39" t="s">
        <v>55</v>
      </c>
      <c r="C1" s="6">
        <v>45748</v>
      </c>
      <c r="D1" s="6">
        <f>EOMONTH(C1,1)</f>
        <v>45808</v>
      </c>
      <c r="E1" s="6">
        <f t="shared" ref="E1:P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>
        <f t="shared" si="0"/>
        <v>46173</v>
      </c>
      <c r="Q1" s="6" t="s">
        <v>5</v>
      </c>
    </row>
    <row r="2" spans="1:17">
      <c r="A2" s="3" t="s">
        <v>2</v>
      </c>
      <c r="B2" s="40"/>
    </row>
    <row r="3" spans="1:17">
      <c r="A3" s="1" t="s">
        <v>0</v>
      </c>
      <c r="B3" s="41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>
        <v>30</v>
      </c>
      <c r="Q3" s="2">
        <f>SUM(B3:P3)</f>
        <v>3265</v>
      </c>
    </row>
    <row r="4" spans="1:17">
      <c r="A4" s="1" t="s">
        <v>1</v>
      </c>
      <c r="B4" s="41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I29</f>
        <v>1</v>
      </c>
      <c r="P4">
        <v>1</v>
      </c>
      <c r="Q4" s="2">
        <f>SUM(B4:P4)</f>
        <v>78</v>
      </c>
    </row>
    <row r="5" spans="1:17">
      <c r="A5" s="7" t="s">
        <v>105</v>
      </c>
      <c r="B5" s="42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P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77</v>
      </c>
      <c r="P5" s="7">
        <f t="shared" si="1"/>
        <v>78</v>
      </c>
      <c r="Q5" s="8">
        <f>Q4-P5</f>
        <v>0</v>
      </c>
    </row>
    <row r="6" spans="1:17">
      <c r="A6" s="7" t="s">
        <v>106</v>
      </c>
      <c r="B6" s="42">
        <f>B3</f>
        <v>2389</v>
      </c>
      <c r="C6">
        <f>B6+C3</f>
        <v>2432</v>
      </c>
      <c r="D6">
        <f t="shared" ref="D6:P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>
        <f t="shared" si="2"/>
        <v>3265</v>
      </c>
      <c r="Q6" s="8">
        <f>P6-Q3</f>
        <v>0</v>
      </c>
    </row>
    <row r="7" spans="1:17">
      <c r="A7" s="4" t="s">
        <v>3</v>
      </c>
      <c r="B7" s="40"/>
      <c r="Q7" s="2"/>
    </row>
    <row r="8" spans="1:17">
      <c r="A8" s="1" t="s">
        <v>0</v>
      </c>
      <c r="B8" s="41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v>60</v>
      </c>
      <c r="Q8">
        <f>SUM(B8:P8)</f>
        <v>2317</v>
      </c>
    </row>
    <row r="9" spans="1:17">
      <c r="A9" s="1" t="s">
        <v>1</v>
      </c>
      <c r="B9" s="41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I30</f>
        <v>1</v>
      </c>
      <c r="P9">
        <v>1</v>
      </c>
      <c r="Q9">
        <f>SUM(B9:P9)</f>
        <v>30</v>
      </c>
    </row>
    <row r="10" spans="1:17">
      <c r="A10" s="7" t="s">
        <v>107</v>
      </c>
      <c r="B10" s="42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P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29</v>
      </c>
      <c r="P10" s="7">
        <f t="shared" si="3"/>
        <v>30</v>
      </c>
      <c r="Q10" s="8">
        <f>Q9-P10</f>
        <v>0</v>
      </c>
    </row>
    <row r="11" spans="1:17">
      <c r="A11" s="7" t="s">
        <v>108</v>
      </c>
      <c r="B11" s="42">
        <f>B8</f>
        <v>528</v>
      </c>
      <c r="C11">
        <f>B11+C8</f>
        <v>528</v>
      </c>
      <c r="D11">
        <f t="shared" ref="D11:P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>
        <f t="shared" si="4"/>
        <v>2317</v>
      </c>
      <c r="Q11" s="8">
        <f>Q8-P11</f>
        <v>0</v>
      </c>
    </row>
    <row r="12" spans="1:17">
      <c r="A12" s="4" t="s">
        <v>4</v>
      </c>
      <c r="B12" s="40"/>
      <c r="Q12" s="2"/>
    </row>
    <row r="13" spans="1:17">
      <c r="A13" s="1" t="s">
        <v>0</v>
      </c>
      <c r="B13" s="41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v>268</v>
      </c>
      <c r="P13">
        <v>0</v>
      </c>
      <c r="Q13" s="2">
        <f>SUM(B13:P13)</f>
        <v>1315</v>
      </c>
    </row>
    <row r="14" spans="1:17">
      <c r="A14" s="1" t="s">
        <v>1</v>
      </c>
      <c r="B14" s="41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v>7</v>
      </c>
      <c r="P14">
        <v>0</v>
      </c>
      <c r="Q14" s="2">
        <f>SUM(B14:P14)</f>
        <v>47</v>
      </c>
    </row>
    <row r="15" spans="1:17">
      <c r="A15" s="7" t="s">
        <v>109</v>
      </c>
      <c r="B15" s="42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P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47</v>
      </c>
      <c r="P15" s="7">
        <f t="shared" si="5"/>
        <v>47</v>
      </c>
      <c r="Q15" s="8">
        <f>Q14-O15</f>
        <v>0</v>
      </c>
    </row>
    <row r="16" spans="1:17">
      <c r="A16" s="7" t="s">
        <v>110</v>
      </c>
      <c r="B16" s="42">
        <f>B13</f>
        <v>116</v>
      </c>
      <c r="C16">
        <f>B16+C13</f>
        <v>220</v>
      </c>
      <c r="D16">
        <f t="shared" ref="D16:P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1315</v>
      </c>
      <c r="P16">
        <f t="shared" si="6"/>
        <v>1315</v>
      </c>
      <c r="Q16" s="8">
        <f>Q13-O16</f>
        <v>0</v>
      </c>
    </row>
    <row r="17" spans="1:17">
      <c r="A17" s="4" t="s">
        <v>57</v>
      </c>
      <c r="B17" s="42"/>
      <c r="Q17" s="92"/>
    </row>
    <row r="18" spans="1:17">
      <c r="A18" s="1" t="s">
        <v>69</v>
      </c>
      <c r="B18" s="42">
        <f>B4+B9+B14</f>
        <v>64</v>
      </c>
      <c r="C18">
        <f t="shared" ref="C18:O18" si="7">C4+C9+C14</f>
        <v>4</v>
      </c>
      <c r="D18">
        <f t="shared" si="7"/>
        <v>7</v>
      </c>
      <c r="E18">
        <f t="shared" si="7"/>
        <v>3</v>
      </c>
      <c r="F18">
        <f t="shared" si="7"/>
        <v>6</v>
      </c>
      <c r="G18">
        <f t="shared" si="7"/>
        <v>2</v>
      </c>
      <c r="H18">
        <f t="shared" si="7"/>
        <v>4</v>
      </c>
      <c r="I18">
        <f t="shared" si="7"/>
        <v>5</v>
      </c>
      <c r="J18">
        <f t="shared" si="7"/>
        <v>6</v>
      </c>
      <c r="K18">
        <f t="shared" si="7"/>
        <v>6</v>
      </c>
      <c r="L18">
        <f t="shared" si="7"/>
        <v>8</v>
      </c>
      <c r="M18">
        <f t="shared" si="7"/>
        <v>13</v>
      </c>
      <c r="N18">
        <f t="shared" si="7"/>
        <v>16</v>
      </c>
      <c r="O18">
        <f t="shared" si="7"/>
        <v>9</v>
      </c>
      <c r="P18">
        <f t="shared" ref="P18" si="8">P4+P9+P14</f>
        <v>2</v>
      </c>
      <c r="Q18">
        <f>Q4+Q9+Q14</f>
        <v>155</v>
      </c>
    </row>
    <row r="19" spans="1:17">
      <c r="A19" s="1" t="s">
        <v>70</v>
      </c>
      <c r="B19" s="42">
        <f>B3+B8+B13</f>
        <v>3033</v>
      </c>
      <c r="C19">
        <f t="shared" ref="C19:O19" si="9">C3+C8+C13</f>
        <v>147</v>
      </c>
      <c r="D19">
        <f t="shared" si="9"/>
        <v>410</v>
      </c>
      <c r="E19">
        <f t="shared" si="9"/>
        <v>157</v>
      </c>
      <c r="F19">
        <f t="shared" si="9"/>
        <v>313</v>
      </c>
      <c r="G19">
        <f t="shared" si="9"/>
        <v>97</v>
      </c>
      <c r="H19">
        <f t="shared" si="9"/>
        <v>188</v>
      </c>
      <c r="I19">
        <f t="shared" si="9"/>
        <v>207</v>
      </c>
      <c r="J19">
        <f t="shared" si="9"/>
        <v>191</v>
      </c>
      <c r="K19">
        <f t="shared" si="9"/>
        <v>412</v>
      </c>
      <c r="L19">
        <f t="shared" si="9"/>
        <v>512</v>
      </c>
      <c r="M19">
        <f t="shared" si="9"/>
        <v>338</v>
      </c>
      <c r="N19">
        <f t="shared" si="9"/>
        <v>534</v>
      </c>
      <c r="O19">
        <f t="shared" si="9"/>
        <v>268</v>
      </c>
      <c r="P19">
        <f t="shared" ref="P19" si="10">P3+P8+P13</f>
        <v>90</v>
      </c>
      <c r="Q19">
        <f>Q3+Q8+Q13</f>
        <v>6897</v>
      </c>
    </row>
    <row r="20" spans="1:17">
      <c r="A20" s="7" t="s">
        <v>111</v>
      </c>
      <c r="B20" s="42">
        <f>B18</f>
        <v>64</v>
      </c>
      <c r="C20" s="7">
        <f>C18+B20</f>
        <v>68</v>
      </c>
      <c r="D20" s="7">
        <f t="shared" ref="D20:P20" si="11">D18+C20</f>
        <v>75</v>
      </c>
      <c r="E20" s="7">
        <f t="shared" si="11"/>
        <v>78</v>
      </c>
      <c r="F20" s="7">
        <f t="shared" si="11"/>
        <v>84</v>
      </c>
      <c r="G20" s="7">
        <f t="shared" si="11"/>
        <v>86</v>
      </c>
      <c r="H20" s="7">
        <f t="shared" si="11"/>
        <v>90</v>
      </c>
      <c r="I20" s="7">
        <f t="shared" si="11"/>
        <v>95</v>
      </c>
      <c r="J20" s="7">
        <f t="shared" si="11"/>
        <v>101</v>
      </c>
      <c r="K20" s="7">
        <f t="shared" si="11"/>
        <v>107</v>
      </c>
      <c r="L20" s="7">
        <f t="shared" si="11"/>
        <v>115</v>
      </c>
      <c r="M20" s="7">
        <f t="shared" si="11"/>
        <v>128</v>
      </c>
      <c r="N20" s="7">
        <f t="shared" si="11"/>
        <v>144</v>
      </c>
      <c r="O20" s="7">
        <f t="shared" si="11"/>
        <v>153</v>
      </c>
      <c r="P20" s="7">
        <f t="shared" si="11"/>
        <v>155</v>
      </c>
      <c r="Q20" s="8">
        <f>Q18-P20</f>
        <v>0</v>
      </c>
    </row>
    <row r="21" spans="1:17">
      <c r="A21" s="7" t="s">
        <v>112</v>
      </c>
      <c r="B21" s="42">
        <f>B19</f>
        <v>3033</v>
      </c>
      <c r="C21">
        <f>C19+B21</f>
        <v>3180</v>
      </c>
      <c r="D21">
        <f t="shared" ref="D21:P21" si="12">D19+C21</f>
        <v>3590</v>
      </c>
      <c r="E21">
        <f t="shared" si="12"/>
        <v>3747</v>
      </c>
      <c r="F21">
        <f t="shared" si="12"/>
        <v>4060</v>
      </c>
      <c r="G21">
        <f t="shared" si="12"/>
        <v>4157</v>
      </c>
      <c r="H21">
        <f t="shared" si="12"/>
        <v>4345</v>
      </c>
      <c r="I21">
        <f t="shared" si="12"/>
        <v>4552</v>
      </c>
      <c r="J21">
        <f t="shared" si="12"/>
        <v>4743</v>
      </c>
      <c r="K21">
        <f t="shared" si="12"/>
        <v>5155</v>
      </c>
      <c r="L21">
        <f t="shared" si="12"/>
        <v>5667</v>
      </c>
      <c r="M21">
        <f t="shared" si="12"/>
        <v>6005</v>
      </c>
      <c r="N21">
        <f t="shared" si="12"/>
        <v>6539</v>
      </c>
      <c r="O21">
        <f t="shared" si="12"/>
        <v>6807</v>
      </c>
      <c r="P21">
        <f t="shared" si="12"/>
        <v>6897</v>
      </c>
      <c r="Q21" s="8">
        <f>Q19-P21</f>
        <v>0</v>
      </c>
    </row>
    <row r="22" spans="1:17">
      <c r="A22" s="7"/>
    </row>
    <row r="25" spans="1:17" ht="15.5">
      <c r="B25" s="105"/>
      <c r="C25" s="119"/>
      <c r="D25" s="122" t="s">
        <v>172</v>
      </c>
      <c r="E25" s="123"/>
      <c r="F25" s="123"/>
      <c r="G25" s="123"/>
      <c r="H25" s="123"/>
      <c r="I25" s="124"/>
    </row>
    <row r="26" spans="1:17" ht="15.5">
      <c r="A26" s="114"/>
      <c r="B26" s="120" t="s">
        <v>54</v>
      </c>
      <c r="C26" s="120" t="s">
        <v>64</v>
      </c>
      <c r="D26" s="116" t="s">
        <v>6</v>
      </c>
      <c r="E26" s="44" t="s">
        <v>7</v>
      </c>
      <c r="F26" s="44" t="s">
        <v>8</v>
      </c>
      <c r="G26" s="44" t="s">
        <v>9</v>
      </c>
      <c r="H26" s="44" t="s">
        <v>101</v>
      </c>
      <c r="I26" s="64" t="s">
        <v>5</v>
      </c>
    </row>
    <row r="27" spans="1:17" ht="15.5">
      <c r="A27" s="63" t="s">
        <v>13</v>
      </c>
      <c r="B27" s="120"/>
      <c r="C27" s="105"/>
      <c r="D27" s="117"/>
      <c r="E27" s="9"/>
      <c r="F27" s="9"/>
      <c r="G27" s="9"/>
      <c r="H27" s="9"/>
      <c r="I27" s="53"/>
    </row>
    <row r="28" spans="1:17" ht="16">
      <c r="A28" s="115" t="s">
        <v>10</v>
      </c>
      <c r="B28" s="121">
        <v>9</v>
      </c>
      <c r="C28" s="105">
        <v>7</v>
      </c>
      <c r="D28" s="118">
        <v>0</v>
      </c>
      <c r="E28" s="65"/>
      <c r="F28" s="65"/>
      <c r="G28" s="65"/>
      <c r="H28" s="65"/>
      <c r="I28" s="57">
        <f>SUM(D28:H28)</f>
        <v>0</v>
      </c>
    </row>
    <row r="29" spans="1:17" ht="16">
      <c r="A29" s="115" t="s">
        <v>11</v>
      </c>
      <c r="B29" s="121">
        <v>3</v>
      </c>
      <c r="C29" s="105">
        <v>0</v>
      </c>
      <c r="D29" s="118">
        <v>1</v>
      </c>
      <c r="E29" s="65"/>
      <c r="F29" s="65"/>
      <c r="G29" s="65"/>
      <c r="H29" s="65"/>
      <c r="I29" s="57">
        <f t="shared" ref="I29:I30" si="13">SUM(D29:H29)</f>
        <v>1</v>
      </c>
    </row>
    <row r="30" spans="1:17" ht="16">
      <c r="A30" s="115" t="s">
        <v>12</v>
      </c>
      <c r="B30" s="121">
        <v>4</v>
      </c>
      <c r="C30" s="105">
        <v>2</v>
      </c>
      <c r="D30" s="118">
        <v>1</v>
      </c>
      <c r="E30" s="65"/>
      <c r="F30" s="65"/>
      <c r="G30" s="65"/>
      <c r="H30" s="65"/>
      <c r="I30" s="57">
        <f t="shared" si="13"/>
        <v>1</v>
      </c>
    </row>
    <row r="33" spans="1:1">
      <c r="A33" s="67" t="s">
        <v>76</v>
      </c>
    </row>
    <row r="34" spans="1:1">
      <c r="A34" s="67" t="s">
        <v>173</v>
      </c>
    </row>
    <row r="35" spans="1:1">
      <c r="A35" s="79" t="s">
        <v>174</v>
      </c>
    </row>
    <row r="36" spans="1:1">
      <c r="A36" s="79"/>
    </row>
    <row r="37" spans="1:1">
      <c r="A37" s="67" t="s">
        <v>102</v>
      </c>
    </row>
    <row r="38" spans="1:1">
      <c r="A38" s="79" t="s">
        <v>175</v>
      </c>
    </row>
    <row r="39" spans="1:1">
      <c r="A39" s="79"/>
    </row>
    <row r="41" spans="1:1">
      <c r="A41" s="68"/>
    </row>
    <row r="42" spans="1:1">
      <c r="A42" s="68"/>
    </row>
  </sheetData>
  <mergeCells count="2">
    <mergeCell ref="D26:D27"/>
    <mergeCell ref="D25:I2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S59"/>
  <sheetViews>
    <sheetView topLeftCell="D32" workbookViewId="0">
      <selection activeCell="G39" sqref="G39"/>
    </sheetView>
  </sheetViews>
  <sheetFormatPr defaultRowHeight="14.5"/>
  <cols>
    <col min="2" max="2" width="23.4531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0" width="12.90625" bestFit="1" customWidth="1"/>
    <col min="11" max="15" width="11.1796875" bestFit="1" customWidth="1"/>
    <col min="19" max="19" width="12.1796875" bestFit="1" customWidth="1"/>
  </cols>
  <sheetData>
    <row r="1" spans="2:19" ht="28.5">
      <c r="I1" s="5" t="s">
        <v>42</v>
      </c>
    </row>
    <row r="3" spans="2:19">
      <c r="C3" s="6" t="s">
        <v>43</v>
      </c>
      <c r="D3" s="6">
        <v>45748</v>
      </c>
      <c r="E3" s="6">
        <f>EOMONTH(D3,1)</f>
        <v>45808</v>
      </c>
      <c r="F3" s="6">
        <f t="shared" ref="F3:Q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>
        <f t="shared" si="0"/>
        <v>46173</v>
      </c>
      <c r="R3" s="6" t="s">
        <v>5</v>
      </c>
    </row>
    <row r="4" spans="2:19">
      <c r="B4" s="3" t="s">
        <v>2</v>
      </c>
      <c r="C4" s="11"/>
    </row>
    <row r="5" spans="2:19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v>0</v>
      </c>
      <c r="R5" s="2">
        <f>SUM(C5:Q5)</f>
        <v>1700</v>
      </c>
    </row>
    <row r="6" spans="2:19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v>0</v>
      </c>
      <c r="R6" s="2">
        <f>SUM(C6:O6)</f>
        <v>41</v>
      </c>
    </row>
    <row r="7" spans="2:19">
      <c r="B7" s="7" t="s">
        <v>106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Q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7">
        <f t="shared" si="1"/>
        <v>1700</v>
      </c>
      <c r="R7" s="8">
        <f>R5-O7</f>
        <v>0</v>
      </c>
    </row>
    <row r="8" spans="2:19">
      <c r="B8" s="7" t="s">
        <v>105</v>
      </c>
      <c r="C8">
        <f>C6</f>
        <v>32</v>
      </c>
      <c r="D8">
        <f>D6+C8</f>
        <v>32</v>
      </c>
      <c r="E8">
        <f t="shared" ref="E8:Q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>
        <f t="shared" si="2"/>
        <v>41</v>
      </c>
      <c r="R8" s="2">
        <f>R6-O8</f>
        <v>0</v>
      </c>
    </row>
    <row r="9" spans="2:19">
      <c r="B9" s="4" t="s">
        <v>10</v>
      </c>
      <c r="C9" s="11"/>
      <c r="R9" s="2"/>
    </row>
    <row r="10" spans="2:19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15+24+25+27</f>
        <v>91</v>
      </c>
      <c r="Q10" s="2">
        <v>0</v>
      </c>
      <c r="R10" s="2">
        <f>SUM(C10:Q10)</f>
        <v>744</v>
      </c>
      <c r="S10">
        <f>R5+R10</f>
        <v>2444</v>
      </c>
    </row>
    <row r="11" spans="2:19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v>4</v>
      </c>
      <c r="Q11" s="2">
        <v>0</v>
      </c>
      <c r="R11" s="2">
        <f>SUM(C11:Q11)</f>
        <v>25</v>
      </c>
    </row>
    <row r="12" spans="2:19">
      <c r="B12" s="7" t="s">
        <v>113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>O12+P10</f>
        <v>744</v>
      </c>
      <c r="Q12" s="7">
        <f>P12+Q10</f>
        <v>744</v>
      </c>
      <c r="R12" s="8">
        <f>R10-P12</f>
        <v>0</v>
      </c>
    </row>
    <row r="13" spans="2:19">
      <c r="B13" s="7" t="s">
        <v>114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>O13+P11</f>
        <v>25</v>
      </c>
      <c r="Q13">
        <f>P13+Q11</f>
        <v>25</v>
      </c>
      <c r="R13" s="2">
        <f>R11-P13</f>
        <v>0</v>
      </c>
    </row>
    <row r="14" spans="2:19">
      <c r="B14" s="4" t="s">
        <v>57</v>
      </c>
      <c r="R14" s="93"/>
    </row>
    <row r="15" spans="2:19">
      <c r="B15" s="1" t="s">
        <v>0</v>
      </c>
      <c r="C15">
        <f>C5+C10</f>
        <v>1264</v>
      </c>
      <c r="D15">
        <f t="shared" ref="D15" si="5">D5+D10</f>
        <v>0</v>
      </c>
      <c r="E15">
        <f t="shared" ref="E15:P15" si="6">E5+E10</f>
        <v>73</v>
      </c>
      <c r="F15">
        <f t="shared" si="6"/>
        <v>116</v>
      </c>
      <c r="G15">
        <f t="shared" si="6"/>
        <v>112</v>
      </c>
      <c r="H15">
        <f t="shared" si="6"/>
        <v>30</v>
      </c>
      <c r="I15">
        <f t="shared" si="6"/>
        <v>114</v>
      </c>
      <c r="J15">
        <f t="shared" si="6"/>
        <v>51</v>
      </c>
      <c r="K15">
        <f t="shared" si="6"/>
        <v>151</v>
      </c>
      <c r="L15">
        <f t="shared" si="6"/>
        <v>60</v>
      </c>
      <c r="M15">
        <f t="shared" si="6"/>
        <v>183</v>
      </c>
      <c r="N15">
        <f t="shared" si="6"/>
        <v>0</v>
      </c>
      <c r="O15">
        <f t="shared" si="6"/>
        <v>199</v>
      </c>
      <c r="P15">
        <f t="shared" si="6"/>
        <v>91</v>
      </c>
      <c r="Q15">
        <f t="shared" ref="Q15" si="7">Q5+Q10</f>
        <v>0</v>
      </c>
      <c r="R15" s="2">
        <f>SUM(C15:P15)</f>
        <v>2444</v>
      </c>
    </row>
    <row r="16" spans="2:19" s="12" customFormat="1">
      <c r="B16" s="1" t="s">
        <v>1</v>
      </c>
      <c r="C16" s="12">
        <f>C8+C13</f>
        <v>33</v>
      </c>
      <c r="D16" s="12">
        <f>D6+D11</f>
        <v>0</v>
      </c>
      <c r="E16" s="12">
        <f t="shared" ref="E16:P16" si="8">E6+E11</f>
        <v>2</v>
      </c>
      <c r="F16" s="12">
        <f t="shared" si="8"/>
        <v>3</v>
      </c>
      <c r="G16" s="12">
        <f t="shared" si="8"/>
        <v>2</v>
      </c>
      <c r="H16" s="12">
        <f t="shared" si="8"/>
        <v>1</v>
      </c>
      <c r="I16" s="12">
        <f t="shared" si="8"/>
        <v>2</v>
      </c>
      <c r="J16" s="12">
        <f t="shared" si="8"/>
        <v>2</v>
      </c>
      <c r="K16" s="12">
        <f t="shared" si="8"/>
        <v>4</v>
      </c>
      <c r="L16" s="12">
        <f t="shared" si="8"/>
        <v>2</v>
      </c>
      <c r="M16" s="12">
        <f t="shared" si="8"/>
        <v>5</v>
      </c>
      <c r="N16" s="12">
        <f t="shared" si="8"/>
        <v>0</v>
      </c>
      <c r="O16" s="12">
        <f t="shared" si="8"/>
        <v>6</v>
      </c>
      <c r="P16" s="12">
        <f t="shared" si="8"/>
        <v>4</v>
      </c>
      <c r="Q16" s="12">
        <f t="shared" ref="Q16" si="9">Q6+Q11</f>
        <v>0</v>
      </c>
      <c r="R16" s="2">
        <f>SUM(C16:P16)</f>
        <v>66</v>
      </c>
      <c r="S16" s="12">
        <f>SUM(D16:O16)</f>
        <v>29</v>
      </c>
    </row>
    <row r="17" spans="2:18">
      <c r="B17" s="7" t="s">
        <v>115</v>
      </c>
      <c r="C17" s="7">
        <f>C15</f>
        <v>1264</v>
      </c>
      <c r="D17" s="7">
        <f>C17+D15</f>
        <v>1264</v>
      </c>
      <c r="E17" s="7">
        <f t="shared" ref="E17:Q17" si="10">D17+E15</f>
        <v>1337</v>
      </c>
      <c r="F17" s="7">
        <f t="shared" si="10"/>
        <v>1453</v>
      </c>
      <c r="G17" s="7">
        <f t="shared" si="10"/>
        <v>1565</v>
      </c>
      <c r="H17" s="7">
        <f t="shared" si="10"/>
        <v>1595</v>
      </c>
      <c r="I17" s="7">
        <f t="shared" si="10"/>
        <v>1709</v>
      </c>
      <c r="J17" s="7">
        <f t="shared" si="10"/>
        <v>1760</v>
      </c>
      <c r="K17" s="7">
        <f t="shared" si="10"/>
        <v>1911</v>
      </c>
      <c r="L17" s="7">
        <f t="shared" si="10"/>
        <v>1971</v>
      </c>
      <c r="M17" s="7">
        <f t="shared" si="10"/>
        <v>2154</v>
      </c>
      <c r="N17" s="7">
        <f t="shared" si="10"/>
        <v>2154</v>
      </c>
      <c r="O17" s="7">
        <f t="shared" si="10"/>
        <v>2353</v>
      </c>
      <c r="P17" s="7">
        <f t="shared" si="10"/>
        <v>2444</v>
      </c>
      <c r="Q17" s="7">
        <f t="shared" si="10"/>
        <v>2444</v>
      </c>
      <c r="R17" s="8">
        <f>R15-P17</f>
        <v>0</v>
      </c>
    </row>
    <row r="18" spans="2:18" ht="15" thickBot="1">
      <c r="B18" s="7" t="s">
        <v>116</v>
      </c>
      <c r="C18" s="14">
        <f>C16</f>
        <v>33</v>
      </c>
      <c r="D18" s="14">
        <f>C18+D16</f>
        <v>33</v>
      </c>
      <c r="E18" s="14">
        <f t="shared" ref="E18:Q18" si="11">D18+E16</f>
        <v>35</v>
      </c>
      <c r="F18" s="14">
        <f t="shared" si="11"/>
        <v>38</v>
      </c>
      <c r="G18" s="14">
        <f t="shared" si="11"/>
        <v>40</v>
      </c>
      <c r="H18" s="14">
        <f t="shared" si="11"/>
        <v>41</v>
      </c>
      <c r="I18" s="14">
        <f t="shared" si="11"/>
        <v>43</v>
      </c>
      <c r="J18" s="14">
        <f t="shared" si="11"/>
        <v>45</v>
      </c>
      <c r="K18" s="14">
        <f t="shared" si="11"/>
        <v>49</v>
      </c>
      <c r="L18" s="14">
        <f t="shared" si="11"/>
        <v>51</v>
      </c>
      <c r="M18" s="14">
        <f t="shared" si="11"/>
        <v>56</v>
      </c>
      <c r="N18" s="14">
        <f t="shared" si="11"/>
        <v>56</v>
      </c>
      <c r="O18" s="14">
        <f t="shared" si="11"/>
        <v>62</v>
      </c>
      <c r="P18" s="14">
        <f t="shared" si="11"/>
        <v>66</v>
      </c>
      <c r="Q18" s="14">
        <f t="shared" si="11"/>
        <v>66</v>
      </c>
      <c r="R18" s="2">
        <f>R16-P18</f>
        <v>0</v>
      </c>
    </row>
    <row r="19" spans="2:18" ht="16" thickBot="1">
      <c r="E19" s="125" t="s">
        <v>172</v>
      </c>
      <c r="F19" s="126"/>
      <c r="G19" s="126"/>
      <c r="H19" s="126"/>
      <c r="I19" s="126"/>
      <c r="J19" s="127"/>
    </row>
    <row r="20" spans="2:18" ht="14.5" customHeight="1">
      <c r="B20" s="49"/>
      <c r="C20" s="96" t="s">
        <v>71</v>
      </c>
      <c r="D20" s="96" t="s">
        <v>64</v>
      </c>
      <c r="E20" s="96" t="s">
        <v>6</v>
      </c>
      <c r="F20" s="50" t="s">
        <v>7</v>
      </c>
      <c r="G20" s="50" t="s">
        <v>8</v>
      </c>
      <c r="H20" s="50" t="s">
        <v>9</v>
      </c>
      <c r="I20" s="50" t="s">
        <v>101</v>
      </c>
      <c r="J20" s="51" t="s">
        <v>5</v>
      </c>
    </row>
    <row r="21" spans="2:18" ht="15.5">
      <c r="B21" s="52" t="s">
        <v>13</v>
      </c>
      <c r="C21" s="97"/>
      <c r="D21" s="97"/>
      <c r="E21" s="97"/>
      <c r="F21" s="9"/>
      <c r="G21" s="9"/>
      <c r="H21" s="9"/>
      <c r="I21" s="53"/>
      <c r="J21" s="53"/>
    </row>
    <row r="22" spans="2:18" ht="15.5">
      <c r="B22" s="54" t="s">
        <v>10</v>
      </c>
      <c r="I22" s="55"/>
      <c r="J22" s="55"/>
    </row>
    <row r="23" spans="2:18" ht="16">
      <c r="B23" s="56" t="s">
        <v>62</v>
      </c>
      <c r="C23" s="10">
        <v>5</v>
      </c>
      <c r="D23" s="128">
        <f>P11</f>
        <v>4</v>
      </c>
      <c r="E23" s="10"/>
      <c r="F23" s="10"/>
      <c r="G23" s="10"/>
      <c r="H23" s="10"/>
      <c r="I23" s="57"/>
      <c r="J23" s="57">
        <f>SUM(F23:I23)</f>
        <v>0</v>
      </c>
    </row>
    <row r="24" spans="2:18" ht="16">
      <c r="B24" s="56" t="s">
        <v>63</v>
      </c>
      <c r="C24" s="10">
        <v>143</v>
      </c>
      <c r="D24">
        <f>P10</f>
        <v>91</v>
      </c>
      <c r="I24" s="57"/>
      <c r="J24" s="57">
        <f t="shared" ref="J24:J30" si="12">SUM(F24:I24)</f>
        <v>0</v>
      </c>
    </row>
    <row r="25" spans="2:18" ht="16">
      <c r="B25" s="54" t="s">
        <v>11</v>
      </c>
      <c r="I25" s="57"/>
      <c r="J25" s="57">
        <f t="shared" si="12"/>
        <v>0</v>
      </c>
    </row>
    <row r="26" spans="2:18" ht="16">
      <c r="B26" s="56" t="s">
        <v>62</v>
      </c>
      <c r="C26" s="10">
        <v>1</v>
      </c>
      <c r="D26" s="10">
        <v>0</v>
      </c>
      <c r="E26" s="10"/>
      <c r="F26" s="10"/>
      <c r="G26" s="10"/>
      <c r="H26" s="10"/>
      <c r="I26" s="57"/>
      <c r="J26" s="57">
        <f t="shared" si="12"/>
        <v>0</v>
      </c>
    </row>
    <row r="27" spans="2:18" ht="16">
      <c r="B27" s="56" t="s">
        <v>63</v>
      </c>
      <c r="C27" s="10">
        <v>55</v>
      </c>
      <c r="D27">
        <v>0</v>
      </c>
      <c r="I27" s="57"/>
      <c r="J27" s="57">
        <f t="shared" si="12"/>
        <v>0</v>
      </c>
    </row>
    <row r="28" spans="2:18">
      <c r="B28" s="58"/>
      <c r="I28" s="55"/>
      <c r="J28" s="55"/>
    </row>
    <row r="29" spans="2:18" ht="15.5">
      <c r="B29" s="54" t="s">
        <v>5</v>
      </c>
      <c r="I29" s="55"/>
      <c r="J29" s="55"/>
    </row>
    <row r="30" spans="2:18">
      <c r="B30" s="56" t="s">
        <v>62</v>
      </c>
      <c r="C30">
        <f>C23+C26</f>
        <v>6</v>
      </c>
      <c r="D30">
        <f>SUM(D23+D26)</f>
        <v>4</v>
      </c>
      <c r="I30" s="55"/>
      <c r="J30" s="55">
        <f>SUM(F30:I30)</f>
        <v>0</v>
      </c>
    </row>
    <row r="31" spans="2:18" ht="15" thickBot="1">
      <c r="B31" s="59" t="s">
        <v>63</v>
      </c>
      <c r="C31" s="60">
        <f>C24+C27</f>
        <v>198</v>
      </c>
      <c r="D31" s="60">
        <f>D27+D24</f>
        <v>91</v>
      </c>
      <c r="E31" s="60"/>
      <c r="F31" s="60"/>
      <c r="G31" s="60"/>
      <c r="H31" s="60"/>
      <c r="I31" s="61"/>
      <c r="J31" s="61">
        <f>SUM(F31:I31)</f>
        <v>0</v>
      </c>
    </row>
    <row r="33" spans="2:10" ht="15" thickBot="1"/>
    <row r="34" spans="2:10">
      <c r="B34" s="67" t="s">
        <v>76</v>
      </c>
      <c r="H34" s="80" t="s">
        <v>186</v>
      </c>
      <c r="I34" s="81" t="s">
        <v>84</v>
      </c>
      <c r="J34" s="82" t="s">
        <v>85</v>
      </c>
    </row>
    <row r="35" spans="2:10" ht="43.5">
      <c r="B35" s="83" t="s">
        <v>176</v>
      </c>
      <c r="H35" s="132" t="s">
        <v>78</v>
      </c>
      <c r="I35" s="132" t="s">
        <v>183</v>
      </c>
      <c r="J35" s="55" t="s">
        <v>94</v>
      </c>
    </row>
    <row r="36" spans="2:10">
      <c r="H36" s="132" t="s">
        <v>86</v>
      </c>
      <c r="I36" s="132" t="s">
        <v>87</v>
      </c>
      <c r="J36" s="55" t="s">
        <v>94</v>
      </c>
    </row>
    <row r="37" spans="2:10" ht="29">
      <c r="H37" s="132" t="s">
        <v>88</v>
      </c>
      <c r="I37" s="132" t="s">
        <v>89</v>
      </c>
      <c r="J37" s="55" t="s">
        <v>96</v>
      </c>
    </row>
    <row r="38" spans="2:10">
      <c r="H38" s="132" t="s">
        <v>79</v>
      </c>
      <c r="I38" s="132" t="s">
        <v>184</v>
      </c>
      <c r="J38" s="55" t="s">
        <v>187</v>
      </c>
    </row>
    <row r="39" spans="2:10" ht="15" thickBot="1">
      <c r="H39" s="132" t="s">
        <v>80</v>
      </c>
      <c r="I39" s="132" t="s">
        <v>183</v>
      </c>
      <c r="J39" s="61" t="s">
        <v>94</v>
      </c>
    </row>
    <row r="40" spans="2:10" ht="29.5" thickBot="1">
      <c r="H40" s="132" t="s">
        <v>81</v>
      </c>
      <c r="I40" s="132" t="s">
        <v>93</v>
      </c>
      <c r="J40" s="61" t="s">
        <v>95</v>
      </c>
    </row>
    <row r="41" spans="2:10" ht="29">
      <c r="D41" s="43"/>
      <c r="H41" s="132" t="s">
        <v>90</v>
      </c>
      <c r="I41" s="132" t="s">
        <v>91</v>
      </c>
      <c r="J41" s="55" t="s">
        <v>97</v>
      </c>
    </row>
    <row r="42" spans="2:10" ht="29.5" thickBot="1">
      <c r="H42" s="132" t="s">
        <v>92</v>
      </c>
      <c r="I42" s="132" t="s">
        <v>185</v>
      </c>
      <c r="J42" s="61" t="s">
        <v>188</v>
      </c>
    </row>
    <row r="45" spans="2:10">
      <c r="D45" s="89"/>
      <c r="E45" s="89"/>
      <c r="F45" s="89"/>
      <c r="G45" s="89"/>
    </row>
    <row r="46" spans="2:10">
      <c r="D46" s="89"/>
      <c r="E46" s="89"/>
      <c r="F46" s="89"/>
      <c r="G46" s="89"/>
    </row>
    <row r="47" spans="2:10">
      <c r="D47" s="89"/>
      <c r="E47" s="89"/>
      <c r="F47" s="89"/>
      <c r="G47" s="89"/>
    </row>
    <row r="48" spans="2:10">
      <c r="D48" s="89"/>
      <c r="E48" s="89"/>
      <c r="F48" s="89"/>
      <c r="G48" s="89"/>
    </row>
    <row r="49" spans="2:7">
      <c r="D49" s="89"/>
      <c r="E49" s="89"/>
      <c r="F49" s="89"/>
      <c r="G49" s="89"/>
    </row>
    <row r="50" spans="2:7">
      <c r="D50" s="89"/>
      <c r="E50" s="89"/>
      <c r="F50" s="89"/>
      <c r="G50" s="89"/>
    </row>
    <row r="51" spans="2:7">
      <c r="D51" s="89"/>
      <c r="E51" s="89"/>
      <c r="F51" s="89"/>
      <c r="G51" s="89"/>
    </row>
    <row r="52" spans="2:7">
      <c r="B52" s="83"/>
      <c r="D52" s="89"/>
      <c r="E52" s="89"/>
      <c r="F52" s="89"/>
      <c r="G52" s="89"/>
    </row>
    <row r="59" spans="2:7" ht="16">
      <c r="D59" s="69"/>
    </row>
  </sheetData>
  <mergeCells count="4">
    <mergeCell ref="C20:C21"/>
    <mergeCell ref="D20:D21"/>
    <mergeCell ref="E20:E21"/>
    <mergeCell ref="E19:J19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A2:P31"/>
  <sheetViews>
    <sheetView topLeftCell="A9" workbookViewId="0">
      <selection activeCell="E18" sqref="E18"/>
    </sheetView>
  </sheetViews>
  <sheetFormatPr defaultRowHeight="14.5"/>
  <cols>
    <col min="2" max="2" width="14.81640625" bestFit="1" customWidth="1"/>
    <col min="3" max="3" width="13.90625" style="12" bestFit="1" customWidth="1"/>
    <col min="4" max="4" width="13.81640625" bestFit="1" customWidth="1"/>
    <col min="5" max="5" width="12.1796875" bestFit="1" customWidth="1"/>
    <col min="6" max="6" width="18.08984375" style="12" customWidth="1"/>
    <col min="7" max="7" width="13.81640625" bestFit="1" customWidth="1"/>
    <col min="8" max="8" width="12.1796875" bestFit="1" customWidth="1"/>
    <col min="9" max="9" width="15.26953125" bestFit="1" customWidth="1"/>
    <col min="11" max="12" width="11.1796875" bestFit="1" customWidth="1"/>
    <col min="13" max="13" width="12.1796875" bestFit="1" customWidth="1"/>
  </cols>
  <sheetData>
    <row r="2" spans="1:8">
      <c r="A2">
        <v>1</v>
      </c>
      <c r="C2" s="98" t="s">
        <v>123</v>
      </c>
      <c r="D2" s="99"/>
      <c r="E2" s="99"/>
      <c r="F2" s="99"/>
    </row>
    <row r="3" spans="1:8">
      <c r="C3" s="94"/>
      <c r="D3" s="95"/>
      <c r="E3" s="95"/>
      <c r="F3" s="95"/>
    </row>
    <row r="4" spans="1:8">
      <c r="B4" s="105"/>
      <c r="C4" s="106" t="s">
        <v>119</v>
      </c>
      <c r="D4" s="106" t="s">
        <v>120</v>
      </c>
      <c r="E4" s="106" t="s">
        <v>121</v>
      </c>
      <c r="F4" s="106" t="s">
        <v>122</v>
      </c>
      <c r="G4" s="106" t="s">
        <v>124</v>
      </c>
    </row>
    <row r="5" spans="1:8">
      <c r="B5" s="105" t="s">
        <v>100</v>
      </c>
      <c r="C5" s="106">
        <v>4677462</v>
      </c>
      <c r="D5" s="106">
        <v>4718915</v>
      </c>
      <c r="E5" s="106">
        <v>4910464</v>
      </c>
      <c r="F5" s="106">
        <v>4983051</v>
      </c>
      <c r="G5" s="106">
        <v>1328824</v>
      </c>
    </row>
    <row r="6" spans="1:8">
      <c r="B6" s="105" t="s">
        <v>99</v>
      </c>
      <c r="C6" s="106">
        <f>C7-C5</f>
        <v>86240448</v>
      </c>
      <c r="D6" s="106">
        <f t="shared" ref="D6:G6" si="0">D7-D5</f>
        <v>87243617.840000004</v>
      </c>
      <c r="E6" s="106">
        <f t="shared" si="0"/>
        <v>78751234.549999997</v>
      </c>
      <c r="F6" s="106">
        <f t="shared" si="0"/>
        <v>83033975</v>
      </c>
      <c r="G6" s="106">
        <f t="shared" si="0"/>
        <v>27912985</v>
      </c>
    </row>
    <row r="7" spans="1:8">
      <c r="B7" s="105" t="s">
        <v>5</v>
      </c>
      <c r="C7" s="107">
        <v>90917910</v>
      </c>
      <c r="D7" s="107">
        <v>91962532.840000004</v>
      </c>
      <c r="E7" s="107">
        <v>83661698.549999997</v>
      </c>
      <c r="F7" s="107">
        <v>88017026</v>
      </c>
      <c r="G7" s="108">
        <v>29241809</v>
      </c>
    </row>
    <row r="8" spans="1:8">
      <c r="C8" s="94"/>
      <c r="D8" s="95"/>
      <c r="E8" s="95"/>
      <c r="F8" s="95"/>
    </row>
    <row r="9" spans="1:8">
      <c r="C9" s="94"/>
      <c r="D9" s="95"/>
      <c r="E9" s="95"/>
      <c r="F9" s="95"/>
    </row>
    <row r="10" spans="1:8">
      <c r="A10">
        <v>2</v>
      </c>
      <c r="C10" s="98" t="s">
        <v>127</v>
      </c>
      <c r="D10" s="99"/>
      <c r="E10" s="99"/>
      <c r="F10" s="99"/>
    </row>
    <row r="11" spans="1:8">
      <c r="C11" s="94"/>
      <c r="D11" s="95"/>
      <c r="E11" s="95"/>
      <c r="F11" s="95"/>
    </row>
    <row r="12" spans="1:8">
      <c r="C12" s="106" t="s">
        <v>126</v>
      </c>
      <c r="D12" s="106" t="s">
        <v>124</v>
      </c>
      <c r="E12" s="12"/>
      <c r="F12"/>
      <c r="G12" t="s">
        <v>125</v>
      </c>
      <c r="H12" s="106" t="s">
        <v>124</v>
      </c>
    </row>
    <row r="13" spans="1:8">
      <c r="B13" s="105" t="s">
        <v>100</v>
      </c>
      <c r="C13" s="95">
        <v>1295288</v>
      </c>
      <c r="D13" s="106">
        <v>1328824</v>
      </c>
      <c r="E13" s="12"/>
      <c r="F13" s="105" t="s">
        <v>100</v>
      </c>
      <c r="G13" s="109">
        <v>1267216</v>
      </c>
      <c r="H13" s="106">
        <v>1328824</v>
      </c>
    </row>
    <row r="14" spans="1:8">
      <c r="B14" s="105" t="s">
        <v>99</v>
      </c>
      <c r="C14" s="95">
        <f>C15-C13</f>
        <v>15882047</v>
      </c>
      <c r="D14" s="106">
        <f t="shared" ref="D14" si="1">D15-D13</f>
        <v>27912985</v>
      </c>
      <c r="E14" s="12"/>
      <c r="F14" s="105" t="s">
        <v>99</v>
      </c>
      <c r="G14" s="95">
        <f>G15-G13</f>
        <v>19918133</v>
      </c>
      <c r="H14" s="106">
        <f t="shared" ref="H14" si="2">H15-H13</f>
        <v>27912985</v>
      </c>
    </row>
    <row r="15" spans="1:8">
      <c r="B15" s="105" t="s">
        <v>5</v>
      </c>
      <c r="C15" s="107">
        <v>17177335</v>
      </c>
      <c r="D15" s="108">
        <v>29241809</v>
      </c>
      <c r="E15" s="12"/>
      <c r="F15" s="105" t="s">
        <v>5</v>
      </c>
      <c r="G15" s="109">
        <v>21185349</v>
      </c>
      <c r="H15" s="108">
        <v>29241809</v>
      </c>
    </row>
    <row r="16" spans="1:8">
      <c r="C16" s="95"/>
      <c r="D16" s="95"/>
    </row>
    <row r="17" spans="1:16">
      <c r="B17" t="s">
        <v>194</v>
      </c>
      <c r="C17" s="134">
        <f>D15/C15</f>
        <v>1.7023484143494902</v>
      </c>
      <c r="D17" s="95"/>
      <c r="F17" t="s">
        <v>194</v>
      </c>
      <c r="G17" s="134">
        <f>H15/G15</f>
        <v>1.3802845069958489</v>
      </c>
    </row>
    <row r="18" spans="1:16">
      <c r="C18" s="95"/>
      <c r="D18" s="95"/>
    </row>
    <row r="19" spans="1:16">
      <c r="C19" s="95"/>
      <c r="D19" s="95"/>
    </row>
    <row r="20" spans="1:16">
      <c r="C20" s="94"/>
      <c r="D20" s="95"/>
      <c r="E20" s="95"/>
      <c r="F20" s="95"/>
    </row>
    <row r="21" spans="1:16">
      <c r="A21">
        <v>3</v>
      </c>
      <c r="C21" s="98" t="s">
        <v>128</v>
      </c>
      <c r="D21" s="99"/>
      <c r="E21" s="99"/>
      <c r="F21" s="99"/>
    </row>
    <row r="22" spans="1:16">
      <c r="C22" s="94"/>
      <c r="D22" s="95"/>
      <c r="F22" s="95"/>
      <c r="G22" s="95"/>
    </row>
    <row r="23" spans="1:16">
      <c r="C23" s="95" t="s">
        <v>5</v>
      </c>
      <c r="D23" s="95" t="s">
        <v>14</v>
      </c>
      <c r="E23" s="95" t="s">
        <v>192</v>
      </c>
      <c r="F23" s="95"/>
      <c r="H23" s="94"/>
      <c r="I23" s="95"/>
      <c r="L23" s="95"/>
      <c r="P23" s="95"/>
    </row>
    <row r="24" spans="1:16">
      <c r="B24" s="95"/>
      <c r="D24" s="12"/>
      <c r="E24" s="13"/>
      <c r="F24"/>
      <c r="H24" s="94" t="s">
        <v>15</v>
      </c>
      <c r="I24" s="95" t="s">
        <v>193</v>
      </c>
      <c r="K24" s="95"/>
      <c r="L24" s="95"/>
    </row>
    <row r="25" spans="1:16">
      <c r="B25" s="95" t="s">
        <v>131</v>
      </c>
      <c r="C25" s="12">
        <f>C28*12%</f>
        <v>3509017.08</v>
      </c>
      <c r="D25" s="12">
        <f>C25</f>
        <v>3509017.08</v>
      </c>
      <c r="E25" s="13">
        <f t="shared" ref="E25:E26" si="3">C25/D25</f>
        <v>1</v>
      </c>
      <c r="F25"/>
      <c r="G25" s="105" t="s">
        <v>129</v>
      </c>
      <c r="H25" s="106">
        <f>H28*3.5%</f>
        <v>665251.1547500001</v>
      </c>
      <c r="I25" s="134">
        <v>0.04</v>
      </c>
      <c r="K25" s="95"/>
      <c r="L25" s="95"/>
    </row>
    <row r="26" spans="1:16">
      <c r="B26" s="95" t="s">
        <v>132</v>
      </c>
      <c r="C26" s="12">
        <f>C28-C27-C25</f>
        <v>6725616.0699999984</v>
      </c>
      <c r="D26" s="12">
        <v>5929032.2580645159</v>
      </c>
      <c r="E26" s="13">
        <f t="shared" si="3"/>
        <v>1.1343530912404787</v>
      </c>
      <c r="F26"/>
      <c r="G26" s="105"/>
      <c r="H26" s="106"/>
      <c r="I26" s="95"/>
      <c r="K26" s="95"/>
      <c r="M26" s="91"/>
    </row>
    <row r="27" spans="1:16">
      <c r="B27" s="95" t="s">
        <v>15</v>
      </c>
      <c r="C27" s="12">
        <f>C28*65%</f>
        <v>19007175.850000001</v>
      </c>
      <c r="D27" s="12">
        <f>11836353.8064516+4175258</f>
        <v>16011611.8064516</v>
      </c>
      <c r="E27" s="13">
        <f>C27/D27</f>
        <v>1.1870869766116483</v>
      </c>
      <c r="F27" s="108"/>
      <c r="G27" s="105" t="s">
        <v>130</v>
      </c>
      <c r="H27" s="106">
        <f>H28-H25</f>
        <v>18341924.695250001</v>
      </c>
      <c r="I27" s="134">
        <v>0.96</v>
      </c>
      <c r="K27" s="95"/>
      <c r="L27" s="95"/>
      <c r="P27" s="108"/>
    </row>
    <row r="28" spans="1:16">
      <c r="C28" s="108">
        <v>29241809</v>
      </c>
      <c r="D28" s="108">
        <f>SUM(D24:D27)</f>
        <v>25449661.144516118</v>
      </c>
      <c r="E28" s="108"/>
      <c r="F28" s="95"/>
      <c r="G28" s="105" t="s">
        <v>5</v>
      </c>
      <c r="H28" s="108">
        <f>C27</f>
        <v>19007175.850000001</v>
      </c>
      <c r="I28" s="12"/>
    </row>
    <row r="29" spans="1:16">
      <c r="D29" s="95"/>
      <c r="E29" s="95"/>
      <c r="F29" s="95"/>
    </row>
    <row r="30" spans="1:16">
      <c r="D30" s="95"/>
      <c r="E30" s="95"/>
      <c r="F30" s="95"/>
    </row>
    <row r="31" spans="1:16">
      <c r="D31" s="95"/>
      <c r="E31" s="95"/>
    </row>
  </sheetData>
  <mergeCells count="3">
    <mergeCell ref="C2:F2"/>
    <mergeCell ref="C10:F10"/>
    <mergeCell ref="C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J20"/>
  <sheetViews>
    <sheetView topLeftCell="B3" workbookViewId="0">
      <selection activeCell="J12" sqref="J12"/>
    </sheetView>
  </sheetViews>
  <sheetFormatPr defaultRowHeight="14.5"/>
  <cols>
    <col min="2" max="2" width="77.26953125" bestFit="1" customWidth="1"/>
    <col min="3" max="3" width="11.7265625" bestFit="1" customWidth="1"/>
    <col min="4" max="4" width="10.453125" bestFit="1" customWidth="1"/>
    <col min="5" max="5" width="11.1796875" bestFit="1" customWidth="1"/>
    <col min="6" max="7" width="9.6328125" bestFit="1" customWidth="1"/>
    <col min="8" max="8" width="10.453125" bestFit="1" customWidth="1"/>
    <col min="9" max="9" width="12.08984375" bestFit="1" customWidth="1"/>
    <col min="10" max="10" width="14.81640625" bestFit="1" customWidth="1"/>
  </cols>
  <sheetData>
    <row r="2" spans="2:10" ht="15" thickBot="1"/>
    <row r="3" spans="2:10" ht="21.5" thickBot="1">
      <c r="B3" s="15" t="s">
        <v>53</v>
      </c>
      <c r="C3" s="16"/>
      <c r="D3" s="17"/>
      <c r="E3" s="17"/>
    </row>
    <row r="4" spans="2:10" ht="19" thickBot="1">
      <c r="B4" s="18"/>
      <c r="C4" s="100" t="s">
        <v>64</v>
      </c>
      <c r="D4" s="101"/>
      <c r="E4" s="101"/>
    </row>
    <row r="5" spans="2:10" ht="15" thickBot="1">
      <c r="B5" s="19"/>
      <c r="C5" s="20"/>
      <c r="D5" s="21"/>
      <c r="E5" s="21"/>
    </row>
    <row r="6" spans="2:10" ht="15" thickBot="1">
      <c r="C6" s="23" t="s">
        <v>14</v>
      </c>
      <c r="D6" s="102" t="s">
        <v>17</v>
      </c>
      <c r="E6" s="102"/>
      <c r="F6" s="102"/>
      <c r="G6" s="102"/>
      <c r="H6" s="102"/>
      <c r="I6" s="102"/>
      <c r="J6" s="90" t="s">
        <v>98</v>
      </c>
    </row>
    <row r="7" spans="2:10" ht="16.5" thickBot="1">
      <c r="B7" s="22" t="s">
        <v>16</v>
      </c>
      <c r="C7" s="25"/>
      <c r="D7" s="27" t="s">
        <v>65</v>
      </c>
      <c r="E7" s="27" t="s">
        <v>66</v>
      </c>
      <c r="F7" s="27" t="s">
        <v>67</v>
      </c>
      <c r="G7" s="27" t="s">
        <v>68</v>
      </c>
      <c r="H7" s="27" t="s">
        <v>103</v>
      </c>
      <c r="I7" s="27" t="s">
        <v>47</v>
      </c>
    </row>
    <row r="8" spans="2:10">
      <c r="B8" s="24" t="s">
        <v>18</v>
      </c>
      <c r="C8" s="25">
        <f>Inflow!C25</f>
        <v>6185000</v>
      </c>
      <c r="D8" s="26">
        <f>Inflow!E25</f>
        <v>820000</v>
      </c>
      <c r="E8" s="26">
        <f>Inflow!F25</f>
        <v>0</v>
      </c>
      <c r="F8" s="26">
        <f>Inflow!G25</f>
        <v>0</v>
      </c>
      <c r="G8" s="26">
        <f>Inflow!H25</f>
        <v>0</v>
      </c>
      <c r="H8" s="26">
        <f>Inflow!I25</f>
        <v>0</v>
      </c>
      <c r="I8" s="26">
        <f>SUM(D8:H8)</f>
        <v>820000</v>
      </c>
      <c r="J8" s="14">
        <f>C8-I8</f>
        <v>5365000</v>
      </c>
    </row>
    <row r="9" spans="2:10">
      <c r="B9" s="24" t="s">
        <v>19</v>
      </c>
      <c r="C9" s="25">
        <f>Inflow!C27</f>
        <v>10000000</v>
      </c>
      <c r="D9" s="25">
        <f>Inflow!E27</f>
        <v>355520</v>
      </c>
      <c r="E9" s="25">
        <f>Inflow!F27</f>
        <v>0</v>
      </c>
      <c r="F9" s="25">
        <f>Inflow!G27</f>
        <v>0</v>
      </c>
      <c r="G9" s="25">
        <f>Inflow!H27</f>
        <v>0</v>
      </c>
      <c r="H9" s="25">
        <f>Inflow!I27</f>
        <v>0</v>
      </c>
      <c r="I9" s="26">
        <f>SUM(D9:H9)</f>
        <v>355520</v>
      </c>
      <c r="J9" s="14">
        <f t="shared" ref="J9:J10" si="0">C9-I9</f>
        <v>9644480</v>
      </c>
    </row>
    <row r="10" spans="2:10">
      <c r="B10" s="24" t="s">
        <v>22</v>
      </c>
      <c r="C10" s="25">
        <f>Inflow!C29</f>
        <v>500000</v>
      </c>
      <c r="D10" s="25">
        <f>Inflow!E29</f>
        <v>0</v>
      </c>
      <c r="E10" s="25">
        <f>Inflow!F29</f>
        <v>0</v>
      </c>
      <c r="F10" s="25">
        <f>Inflow!G29</f>
        <v>0</v>
      </c>
      <c r="G10" s="25">
        <f>Inflow!H29</f>
        <v>0</v>
      </c>
      <c r="H10" s="25"/>
      <c r="I10" s="26">
        <f t="shared" ref="I10" si="1">SUM(D10:G10)</f>
        <v>0</v>
      </c>
      <c r="J10" s="14">
        <f t="shared" si="0"/>
        <v>500000</v>
      </c>
    </row>
    <row r="11" spans="2:10" ht="15" thickBot="1">
      <c r="B11" s="24" t="s">
        <v>47</v>
      </c>
      <c r="C11" s="47">
        <f t="shared" ref="C11:J11" si="2">SUM(C8:C10)</f>
        <v>16685000</v>
      </c>
      <c r="D11" s="47">
        <f t="shared" si="2"/>
        <v>1175520</v>
      </c>
      <c r="E11" s="47">
        <f t="shared" si="2"/>
        <v>0</v>
      </c>
      <c r="F11" s="47">
        <f t="shared" si="2"/>
        <v>0</v>
      </c>
      <c r="G11" s="47">
        <f t="shared" si="2"/>
        <v>0</v>
      </c>
      <c r="H11" s="47">
        <f t="shared" si="2"/>
        <v>0</v>
      </c>
      <c r="I11" s="47">
        <f t="shared" si="2"/>
        <v>1175520</v>
      </c>
      <c r="J11" s="14">
        <f t="shared" si="2"/>
        <v>15509480</v>
      </c>
    </row>
    <row r="12" spans="2:10" ht="16.5" thickBot="1">
      <c r="B12" s="22" t="s">
        <v>191</v>
      </c>
      <c r="C12" s="25"/>
      <c r="D12" s="27"/>
      <c r="E12" s="27"/>
      <c r="J12" s="12">
        <f>700000+2000000+3000000+2000000+1500000</f>
        <v>9200000</v>
      </c>
    </row>
    <row r="13" spans="2:10">
      <c r="B13" s="24"/>
      <c r="C13" s="25"/>
      <c r="D13" s="27"/>
      <c r="E13" s="27"/>
    </row>
    <row r="14" spans="2:10" ht="15" thickBot="1">
      <c r="B14" s="33"/>
      <c r="C14" s="25"/>
      <c r="D14" s="27"/>
      <c r="E14" s="27"/>
    </row>
    <row r="15" spans="2:10" ht="15" thickBot="1">
      <c r="B15" s="24" t="s">
        <v>20</v>
      </c>
      <c r="C15" s="25"/>
      <c r="D15" s="27"/>
      <c r="E15" s="27"/>
      <c r="J15" s="66">
        <f>SUM(C16:C18)</f>
        <v>3453737</v>
      </c>
    </row>
    <row r="16" spans="2:10" ht="15" thickBot="1">
      <c r="B16" s="31" t="s">
        <v>24</v>
      </c>
      <c r="C16" s="87">
        <v>790117</v>
      </c>
    </row>
    <row r="17" spans="2:10" ht="15" thickBot="1">
      <c r="B17" s="31" t="s">
        <v>23</v>
      </c>
      <c r="C17" s="87">
        <v>633776</v>
      </c>
    </row>
    <row r="18" spans="2:10" ht="15" thickBot="1">
      <c r="B18" s="31" t="s">
        <v>25</v>
      </c>
      <c r="C18" s="88">
        <v>2029844</v>
      </c>
    </row>
    <row r="20" spans="2:10">
      <c r="B20" s="28" t="s">
        <v>104</v>
      </c>
      <c r="J20" s="66">
        <f>J15-J12</f>
        <v>-5746263</v>
      </c>
    </row>
  </sheetData>
  <mergeCells count="2">
    <mergeCell ref="C4:E4"/>
    <mergeCell ref="D6:I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L39"/>
  <sheetViews>
    <sheetView tabSelected="1" topLeftCell="A11" workbookViewId="0">
      <selection activeCell="E31" sqref="E31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8" max="8" width="12.1796875" bestFit="1" customWidth="1"/>
    <col min="9" max="10" width="12.1796875" customWidth="1"/>
    <col min="11" max="11" width="11.1796875" bestFit="1" customWidth="1"/>
  </cols>
  <sheetData>
    <row r="3" spans="2:12" ht="15" thickBot="1"/>
    <row r="4" spans="2:12" ht="21.5" thickBot="1">
      <c r="B4" s="15" t="s">
        <v>56</v>
      </c>
      <c r="C4" s="16"/>
      <c r="D4" s="36"/>
      <c r="E4" s="17"/>
      <c r="F4" s="17"/>
      <c r="G4" s="17"/>
      <c r="H4" s="17"/>
      <c r="I4" s="17"/>
      <c r="J4" s="17"/>
      <c r="K4" s="17"/>
    </row>
    <row r="5" spans="2:12" ht="19" thickBot="1">
      <c r="B5" s="18"/>
      <c r="C5" s="100" t="s">
        <v>77</v>
      </c>
      <c r="D5" s="101"/>
      <c r="E5" s="101"/>
      <c r="F5" s="101"/>
      <c r="G5" s="45"/>
      <c r="H5" s="45"/>
      <c r="I5" s="45"/>
      <c r="J5" s="45"/>
      <c r="K5" s="45"/>
    </row>
    <row r="6" spans="2:12" ht="15" thickBot="1">
      <c r="B6" s="19"/>
      <c r="C6" s="20"/>
      <c r="D6" s="20"/>
      <c r="E6" s="103" t="s">
        <v>46</v>
      </c>
      <c r="F6" s="103"/>
      <c r="G6" s="103"/>
      <c r="H6" s="46"/>
      <c r="I6" s="46"/>
      <c r="J6" s="46"/>
      <c r="K6" s="46"/>
    </row>
    <row r="7" spans="2:12" ht="38" customHeight="1">
      <c r="B7" s="70" t="s">
        <v>16</v>
      </c>
      <c r="C7" s="71" t="s">
        <v>14</v>
      </c>
      <c r="D7" s="71"/>
      <c r="E7" s="104" t="s">
        <v>17</v>
      </c>
      <c r="F7" s="104"/>
      <c r="G7" s="104"/>
      <c r="H7" s="104"/>
      <c r="I7" s="104"/>
      <c r="J7" s="104"/>
      <c r="K7" s="72" t="s">
        <v>98</v>
      </c>
    </row>
    <row r="8" spans="2:12">
      <c r="B8" s="73" t="s">
        <v>49</v>
      </c>
      <c r="C8" s="74"/>
      <c r="D8" s="74"/>
      <c r="E8" s="75" t="s">
        <v>65</v>
      </c>
      <c r="F8" s="75" t="s">
        <v>66</v>
      </c>
      <c r="G8" s="75" t="s">
        <v>67</v>
      </c>
      <c r="H8" s="75" t="s">
        <v>68</v>
      </c>
      <c r="I8" s="75" t="s">
        <v>103</v>
      </c>
      <c r="J8" s="75" t="s">
        <v>5</v>
      </c>
      <c r="K8" s="76"/>
    </row>
    <row r="9" spans="2:12">
      <c r="B9" s="73" t="s">
        <v>21</v>
      </c>
      <c r="C9" s="74"/>
      <c r="D9" s="74"/>
      <c r="E9" s="75"/>
      <c r="F9" s="75"/>
      <c r="G9" s="75"/>
      <c r="H9" s="75"/>
      <c r="I9" s="75"/>
      <c r="J9" s="75"/>
      <c r="K9" s="75"/>
    </row>
    <row r="10" spans="2:12">
      <c r="B10" s="77" t="s">
        <v>72</v>
      </c>
      <c r="C10" s="78">
        <v>1000000</v>
      </c>
      <c r="D10" s="78"/>
      <c r="E10" s="76"/>
      <c r="F10" s="76"/>
      <c r="G10" s="76"/>
      <c r="H10" s="76"/>
      <c r="I10" s="34"/>
      <c r="J10" s="75">
        <f>SUM(E10:I10)</f>
        <v>0</v>
      </c>
      <c r="K10" s="75">
        <f>C10-J10</f>
        <v>1000000</v>
      </c>
    </row>
    <row r="11" spans="2:12">
      <c r="B11" s="77" t="s">
        <v>74</v>
      </c>
      <c r="C11" s="78">
        <v>825000</v>
      </c>
      <c r="D11" s="78"/>
      <c r="E11" s="34"/>
      <c r="F11" s="34"/>
      <c r="G11" s="34"/>
      <c r="H11" s="34"/>
      <c r="I11" s="76"/>
      <c r="J11" s="75">
        <f t="shared" ref="J11:J23" si="0">SUM(E11:I11)</f>
        <v>0</v>
      </c>
      <c r="K11" s="75">
        <f t="shared" ref="K11:K25" si="1">C11-J11</f>
        <v>825000</v>
      </c>
    </row>
    <row r="12" spans="2:12">
      <c r="B12" s="77" t="s">
        <v>82</v>
      </c>
      <c r="C12" s="78">
        <v>700000</v>
      </c>
      <c r="D12" s="78"/>
      <c r="E12" s="75"/>
      <c r="F12" s="75"/>
      <c r="G12" s="75"/>
      <c r="H12" s="75"/>
      <c r="I12" s="34"/>
      <c r="J12" s="75">
        <f t="shared" si="0"/>
        <v>0</v>
      </c>
      <c r="K12" s="75">
        <f t="shared" si="1"/>
        <v>700000</v>
      </c>
      <c r="L12" s="76" t="s">
        <v>190</v>
      </c>
    </row>
    <row r="13" spans="2:12">
      <c r="B13" s="77" t="s">
        <v>189</v>
      </c>
      <c r="C13" s="78">
        <v>500000</v>
      </c>
      <c r="D13" s="78"/>
      <c r="E13" s="133">
        <v>500000</v>
      </c>
      <c r="F13" s="75"/>
      <c r="G13" s="75"/>
      <c r="H13" s="75"/>
      <c r="I13" s="75"/>
      <c r="J13" s="75">
        <f t="shared" si="0"/>
        <v>500000</v>
      </c>
      <c r="K13" s="75">
        <f t="shared" si="1"/>
        <v>0</v>
      </c>
    </row>
    <row r="14" spans="2:12">
      <c r="B14" s="77" t="s">
        <v>117</v>
      </c>
      <c r="C14" s="78">
        <v>1500000</v>
      </c>
      <c r="D14" s="78"/>
      <c r="E14" s="76"/>
      <c r="F14" s="76"/>
      <c r="G14" s="76"/>
      <c r="H14" s="76"/>
      <c r="I14" s="75"/>
      <c r="J14" s="75">
        <f t="shared" si="0"/>
        <v>0</v>
      </c>
      <c r="K14" s="75">
        <f t="shared" si="1"/>
        <v>1500000</v>
      </c>
      <c r="L14" s="76" t="s">
        <v>190</v>
      </c>
    </row>
    <row r="15" spans="2:12">
      <c r="B15" s="77" t="s">
        <v>73</v>
      </c>
      <c r="C15" s="78">
        <v>750000</v>
      </c>
      <c r="D15" s="78"/>
      <c r="E15" s="74"/>
      <c r="F15" s="34"/>
      <c r="G15" s="34"/>
      <c r="H15" s="34"/>
      <c r="I15" s="75"/>
      <c r="J15" s="75">
        <f t="shared" si="0"/>
        <v>0</v>
      </c>
      <c r="K15" s="75">
        <f t="shared" si="1"/>
        <v>750000</v>
      </c>
    </row>
    <row r="16" spans="2:12">
      <c r="B16" s="35"/>
      <c r="C16" s="76"/>
      <c r="D16" s="76"/>
      <c r="E16" s="76"/>
      <c r="F16" s="76"/>
      <c r="G16" s="76"/>
      <c r="H16" s="76"/>
      <c r="I16" s="75"/>
      <c r="J16" s="75">
        <f t="shared" si="0"/>
        <v>0</v>
      </c>
      <c r="K16" s="75">
        <f t="shared" si="1"/>
        <v>0</v>
      </c>
    </row>
    <row r="17" spans="2:11">
      <c r="B17" s="73" t="s">
        <v>44</v>
      </c>
      <c r="C17" s="74"/>
      <c r="D17" s="74"/>
      <c r="E17" s="74"/>
      <c r="F17" s="75"/>
      <c r="G17" s="75"/>
      <c r="H17" s="75"/>
      <c r="I17" s="75"/>
      <c r="J17" s="75">
        <f t="shared" si="0"/>
        <v>0</v>
      </c>
      <c r="K17" s="75">
        <f t="shared" si="1"/>
        <v>0</v>
      </c>
    </row>
    <row r="18" spans="2:11">
      <c r="B18" s="77" t="s">
        <v>75</v>
      </c>
      <c r="C18" s="78">
        <v>150000</v>
      </c>
      <c r="D18" s="78"/>
      <c r="E18" s="74"/>
      <c r="F18" s="34"/>
      <c r="G18" s="34"/>
      <c r="H18" s="34"/>
      <c r="I18" s="34"/>
      <c r="J18" s="75">
        <f t="shared" si="0"/>
        <v>0</v>
      </c>
      <c r="K18" s="75">
        <f t="shared" si="1"/>
        <v>150000</v>
      </c>
    </row>
    <row r="19" spans="2:11">
      <c r="B19" s="77" t="s">
        <v>83</v>
      </c>
      <c r="C19" s="78">
        <v>400000</v>
      </c>
      <c r="D19" s="78"/>
      <c r="E19" s="74"/>
      <c r="F19" s="34"/>
      <c r="G19" s="34"/>
      <c r="H19" s="34"/>
      <c r="I19" s="75"/>
      <c r="J19" s="75">
        <f t="shared" si="0"/>
        <v>0</v>
      </c>
      <c r="K19" s="75">
        <f t="shared" si="1"/>
        <v>400000</v>
      </c>
    </row>
    <row r="20" spans="2:11">
      <c r="B20" s="77" t="s">
        <v>118</v>
      </c>
      <c r="C20" s="78">
        <v>300000</v>
      </c>
      <c r="D20" s="78"/>
      <c r="E20" s="133">
        <v>300000</v>
      </c>
      <c r="F20" s="34"/>
      <c r="G20" s="34"/>
      <c r="H20" s="34"/>
      <c r="I20" s="75"/>
      <c r="J20" s="75">
        <f t="shared" si="0"/>
        <v>300000</v>
      </c>
      <c r="K20" s="75">
        <f t="shared" si="1"/>
        <v>0</v>
      </c>
    </row>
    <row r="21" spans="2:11">
      <c r="B21" s="73"/>
      <c r="C21" s="74"/>
      <c r="D21" s="74"/>
      <c r="E21" s="74"/>
      <c r="F21" s="75"/>
      <c r="G21" s="75"/>
      <c r="H21" s="75"/>
      <c r="I21" s="76"/>
      <c r="J21" s="75">
        <f t="shared" si="0"/>
        <v>0</v>
      </c>
      <c r="K21" s="75">
        <f t="shared" si="1"/>
        <v>0</v>
      </c>
    </row>
    <row r="22" spans="2:11">
      <c r="B22" s="73" t="s">
        <v>45</v>
      </c>
      <c r="C22" s="74">
        <v>60000</v>
      </c>
      <c r="D22" s="74"/>
      <c r="E22" s="74">
        <v>20000</v>
      </c>
      <c r="F22" s="74"/>
      <c r="G22" s="74"/>
      <c r="H22" s="74"/>
      <c r="I22" s="75"/>
      <c r="J22" s="75">
        <f t="shared" si="0"/>
        <v>20000</v>
      </c>
      <c r="K22" s="75">
        <f t="shared" si="1"/>
        <v>40000</v>
      </c>
    </row>
    <row r="23" spans="2:11">
      <c r="B23" s="73"/>
      <c r="C23" s="74"/>
      <c r="D23" s="74"/>
      <c r="E23" s="74"/>
      <c r="F23" s="74"/>
      <c r="G23" s="74"/>
      <c r="H23" s="74"/>
      <c r="I23" s="34"/>
      <c r="J23" s="75">
        <f t="shared" si="0"/>
        <v>0</v>
      </c>
      <c r="K23" s="75">
        <f t="shared" si="1"/>
        <v>0</v>
      </c>
    </row>
    <row r="24" spans="2:11">
      <c r="B24" s="73"/>
      <c r="C24" s="74"/>
      <c r="D24" s="74"/>
      <c r="E24" s="74"/>
      <c r="F24" s="74"/>
      <c r="G24" s="74"/>
      <c r="H24" s="74"/>
      <c r="I24" s="74"/>
      <c r="J24" s="75">
        <f t="shared" ref="J24:J27" si="2">SUM(E24:I24)</f>
        <v>0</v>
      </c>
      <c r="K24" s="75">
        <f t="shared" si="1"/>
        <v>0</v>
      </c>
    </row>
    <row r="25" spans="2:11">
      <c r="B25" s="73" t="s">
        <v>52</v>
      </c>
      <c r="C25" s="74">
        <f>SUM(C10:C23)</f>
        <v>6185000</v>
      </c>
      <c r="D25" s="74">
        <f>SUM(D12:D23)</f>
        <v>0</v>
      </c>
      <c r="E25" s="74">
        <f>SUM(E12:E23)</f>
        <v>820000</v>
      </c>
      <c r="F25" s="74">
        <f>SUM(F9:F23)</f>
        <v>0</v>
      </c>
      <c r="G25" s="74">
        <f>SUM(G9:G23)</f>
        <v>0</v>
      </c>
      <c r="H25" s="74">
        <f>SUM(H9:H23)</f>
        <v>0</v>
      </c>
      <c r="I25" s="74">
        <f>SUM(I9:I23)</f>
        <v>0</v>
      </c>
      <c r="J25" s="75">
        <f t="shared" si="2"/>
        <v>820000</v>
      </c>
      <c r="K25" s="75">
        <f t="shared" si="1"/>
        <v>5365000</v>
      </c>
    </row>
    <row r="26" spans="2:11">
      <c r="B26" s="77"/>
      <c r="C26" s="78"/>
      <c r="D26" s="74"/>
      <c r="E26" s="34"/>
      <c r="F26" s="34"/>
      <c r="G26" s="34"/>
      <c r="H26" s="34"/>
      <c r="I26" s="34"/>
      <c r="J26" s="34"/>
      <c r="K26" s="75">
        <f t="shared" ref="K26:K31" si="3">C26-J26</f>
        <v>0</v>
      </c>
    </row>
    <row r="27" spans="2:11">
      <c r="B27" s="29" t="s">
        <v>50</v>
      </c>
      <c r="C27" s="84">
        <f>10000000</f>
        <v>10000000</v>
      </c>
      <c r="D27" s="37"/>
      <c r="E27" s="14">
        <v>355520</v>
      </c>
      <c r="F27" s="85"/>
      <c r="G27" s="85"/>
      <c r="H27" s="62"/>
      <c r="I27" s="62"/>
      <c r="J27" s="75">
        <f t="shared" si="2"/>
        <v>355520</v>
      </c>
      <c r="K27" s="75">
        <f t="shared" si="3"/>
        <v>9644480</v>
      </c>
    </row>
    <row r="28" spans="2:11">
      <c r="B28" s="38"/>
      <c r="C28" s="37"/>
      <c r="D28" s="37"/>
      <c r="E28" s="30"/>
      <c r="F28" s="30"/>
      <c r="G28" s="30"/>
      <c r="H28" s="30"/>
      <c r="I28" s="30"/>
      <c r="J28" s="30"/>
      <c r="K28" s="75">
        <f t="shared" si="3"/>
        <v>0</v>
      </c>
    </row>
    <row r="29" spans="2:11">
      <c r="B29" s="38" t="s">
        <v>51</v>
      </c>
      <c r="C29" s="37">
        <v>500000</v>
      </c>
      <c r="D29" s="37"/>
      <c r="E29" s="30">
        <v>0</v>
      </c>
      <c r="F29" s="30"/>
      <c r="G29" s="30"/>
      <c r="H29" s="25"/>
      <c r="I29" s="25"/>
      <c r="J29" s="25">
        <f>SUM(E29:I29)</f>
        <v>0</v>
      </c>
      <c r="K29" s="75">
        <f t="shared" si="3"/>
        <v>500000</v>
      </c>
    </row>
    <row r="30" spans="2:11">
      <c r="K30" s="75">
        <f t="shared" si="3"/>
        <v>0</v>
      </c>
    </row>
    <row r="31" spans="2:11">
      <c r="B31" t="s">
        <v>48</v>
      </c>
      <c r="C31" s="14">
        <f>C25+C27+C29</f>
        <v>16685000</v>
      </c>
      <c r="D31" s="14">
        <f t="shared" ref="D31:J31" si="4">D25+D27+D29</f>
        <v>0</v>
      </c>
      <c r="E31" s="14">
        <f t="shared" si="4"/>
        <v>1175520</v>
      </c>
      <c r="F31" s="14">
        <f t="shared" si="4"/>
        <v>0</v>
      </c>
      <c r="G31" s="14">
        <f t="shared" si="4"/>
        <v>0</v>
      </c>
      <c r="H31" s="14">
        <f t="shared" si="4"/>
        <v>0</v>
      </c>
      <c r="I31" s="14">
        <f t="shared" si="4"/>
        <v>0</v>
      </c>
      <c r="J31" s="14">
        <f t="shared" si="4"/>
        <v>1175520</v>
      </c>
      <c r="K31" s="75">
        <f t="shared" si="3"/>
        <v>15509480</v>
      </c>
    </row>
    <row r="37" spans="8:10">
      <c r="H37" s="12"/>
      <c r="I37" s="12"/>
      <c r="J37" s="12"/>
    </row>
    <row r="38" spans="8:10">
      <c r="H38" s="12"/>
      <c r="I38" s="12"/>
      <c r="J38" s="12"/>
    </row>
    <row r="39" spans="8:10">
      <c r="H39" s="12"/>
      <c r="I39" s="12"/>
      <c r="J39" s="12"/>
    </row>
  </sheetData>
  <mergeCells count="3">
    <mergeCell ref="C5:F5"/>
    <mergeCell ref="E6:G6"/>
    <mergeCell ref="E7:J7"/>
  </mergeCells>
  <phoneticPr fontId="6" type="noConversion"/>
  <conditionalFormatting sqref="B23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61"/>
  <sheetViews>
    <sheetView topLeftCell="A13" workbookViewId="0">
      <selection activeCell="E51" sqref="E51"/>
    </sheetView>
  </sheetViews>
  <sheetFormatPr defaultRowHeight="14.5"/>
  <cols>
    <col min="3" max="3" width="12.36328125" bestFit="1" customWidth="1"/>
    <col min="4" max="4" width="13.81640625" bestFit="1" customWidth="1"/>
    <col min="9" max="9" width="11.1796875" bestFit="1" customWidth="1"/>
    <col min="14" max="14" width="11.1796875" bestFit="1" customWidth="1"/>
  </cols>
  <sheetData>
    <row r="5" spans="3:14">
      <c r="C5" t="s">
        <v>26</v>
      </c>
      <c r="D5" s="12">
        <v>400000</v>
      </c>
      <c r="F5" s="32" t="s">
        <v>36</v>
      </c>
      <c r="G5" s="25"/>
      <c r="H5" s="27"/>
      <c r="I5" s="25">
        <v>10600000</v>
      </c>
      <c r="K5" s="32" t="s">
        <v>36</v>
      </c>
      <c r="L5" s="25"/>
      <c r="M5" s="27"/>
      <c r="N5" s="25">
        <v>11000000</v>
      </c>
    </row>
    <row r="6" spans="3:14">
      <c r="C6" t="s">
        <v>31</v>
      </c>
      <c r="D6" s="12">
        <v>200000</v>
      </c>
      <c r="F6" s="32" t="s">
        <v>40</v>
      </c>
      <c r="G6" s="25"/>
      <c r="H6" s="27"/>
      <c r="I6" s="25">
        <v>124266</v>
      </c>
      <c r="K6" s="32" t="s">
        <v>40</v>
      </c>
      <c r="L6" s="25"/>
      <c r="M6" s="27"/>
      <c r="N6" s="25">
        <v>124266</v>
      </c>
    </row>
    <row r="7" spans="3:14">
      <c r="C7" t="s">
        <v>27</v>
      </c>
      <c r="D7" s="12">
        <v>300000</v>
      </c>
      <c r="F7" s="32" t="s">
        <v>37</v>
      </c>
      <c r="G7" s="25"/>
      <c r="H7" s="27"/>
      <c r="I7" s="25">
        <v>500000</v>
      </c>
      <c r="K7" s="32" t="s">
        <v>37</v>
      </c>
      <c r="L7" s="25"/>
      <c r="M7" s="27"/>
      <c r="N7" s="25">
        <v>500000</v>
      </c>
    </row>
    <row r="8" spans="3:14">
      <c r="C8" t="s">
        <v>28</v>
      </c>
      <c r="D8" s="12">
        <f>350000*0</f>
        <v>0</v>
      </c>
      <c r="F8" s="32" t="s">
        <v>38</v>
      </c>
      <c r="G8" s="25"/>
      <c r="H8" s="27"/>
      <c r="I8" s="25">
        <v>500000</v>
      </c>
      <c r="K8" s="32" t="s">
        <v>38</v>
      </c>
      <c r="L8" s="25"/>
      <c r="M8" s="27"/>
      <c r="N8" s="25">
        <v>500000</v>
      </c>
    </row>
    <row r="9" spans="3:14">
      <c r="C9" t="s">
        <v>29</v>
      </c>
      <c r="D9" s="12">
        <v>350000</v>
      </c>
      <c r="F9" s="32" t="s">
        <v>39</v>
      </c>
      <c r="G9" s="25"/>
      <c r="H9" s="27"/>
      <c r="I9" s="25">
        <v>2000000</v>
      </c>
      <c r="K9" s="48" t="s">
        <v>58</v>
      </c>
      <c r="N9" s="25">
        <v>500000</v>
      </c>
    </row>
    <row r="10" spans="3:14">
      <c r="C10" t="s">
        <v>30</v>
      </c>
      <c r="D10" s="12"/>
      <c r="F10" s="32" t="s">
        <v>41</v>
      </c>
      <c r="G10" s="25"/>
      <c r="H10" s="27"/>
      <c r="I10" s="25">
        <v>916634.45</v>
      </c>
      <c r="K10" s="48" t="s">
        <v>59</v>
      </c>
      <c r="N10" s="25">
        <v>361000</v>
      </c>
    </row>
    <row r="11" spans="3:14">
      <c r="C11" t="s">
        <v>32</v>
      </c>
      <c r="D11" s="12"/>
      <c r="K11" s="48" t="s">
        <v>60</v>
      </c>
      <c r="N11" s="25">
        <v>500000</v>
      </c>
    </row>
    <row r="12" spans="3:14">
      <c r="C12" t="s">
        <v>33</v>
      </c>
      <c r="D12" s="12">
        <v>100000</v>
      </c>
      <c r="K12" s="48" t="s">
        <v>61</v>
      </c>
      <c r="N12" s="25">
        <v>200000</v>
      </c>
    </row>
    <row r="13" spans="3:14">
      <c r="C13" t="s">
        <v>34</v>
      </c>
      <c r="D13" s="12">
        <v>200000</v>
      </c>
      <c r="I13" s="14">
        <f>SUM(I5:I12)</f>
        <v>14640900.449999999</v>
      </c>
      <c r="N13" s="14">
        <f>SUM(N5:N12)</f>
        <v>13685266</v>
      </c>
    </row>
    <row r="14" spans="3:14">
      <c r="C14" t="s">
        <v>35</v>
      </c>
      <c r="D14" s="12">
        <v>100000</v>
      </c>
    </row>
    <row r="16" spans="3:14">
      <c r="D16" s="14">
        <f>SUM(D5:D15)</f>
        <v>1650000</v>
      </c>
    </row>
    <row r="20" spans="3:11" ht="26">
      <c r="C20" s="110" t="s">
        <v>133</v>
      </c>
      <c r="D20" s="111" t="s">
        <v>134</v>
      </c>
    </row>
    <row r="21" spans="3:11" ht="29">
      <c r="C21" s="112" t="s">
        <v>135</v>
      </c>
      <c r="D21" s="113">
        <v>2093438</v>
      </c>
      <c r="H21" s="129" t="s">
        <v>177</v>
      </c>
    </row>
    <row r="22" spans="3:11" ht="29">
      <c r="C22" s="112" t="s">
        <v>136</v>
      </c>
      <c r="D22" s="113">
        <v>1716829</v>
      </c>
      <c r="H22" s="129" t="s">
        <v>177</v>
      </c>
    </row>
    <row r="23" spans="3:11" ht="15" thickBot="1">
      <c r="C23" s="112" t="s">
        <v>137</v>
      </c>
      <c r="D23" s="113">
        <v>1048272</v>
      </c>
      <c r="H23" s="129" t="s">
        <v>177</v>
      </c>
    </row>
    <row r="24" spans="3:11" ht="73" thickBot="1">
      <c r="C24" s="112" t="s">
        <v>138</v>
      </c>
      <c r="D24" s="113">
        <v>677936</v>
      </c>
      <c r="H24" s="130" t="s">
        <v>178</v>
      </c>
      <c r="I24" s="131" t="s">
        <v>179</v>
      </c>
      <c r="J24" s="131" t="s">
        <v>180</v>
      </c>
      <c r="K24" s="131" t="s">
        <v>181</v>
      </c>
    </row>
    <row r="25" spans="3:11" ht="58">
      <c r="C25" s="112" t="s">
        <v>139</v>
      </c>
      <c r="D25" s="113">
        <v>1151424</v>
      </c>
      <c r="H25" s="132" t="s">
        <v>78</v>
      </c>
      <c r="I25" s="132" t="s">
        <v>2</v>
      </c>
      <c r="J25" s="132" t="s">
        <v>182</v>
      </c>
      <c r="K25" s="132" t="s">
        <v>183</v>
      </c>
    </row>
    <row r="26" spans="3:11" ht="58">
      <c r="C26" s="112" t="s">
        <v>140</v>
      </c>
      <c r="D26" s="113">
        <v>1219763</v>
      </c>
      <c r="H26" s="132" t="s">
        <v>86</v>
      </c>
      <c r="I26" s="132" t="s">
        <v>3</v>
      </c>
      <c r="J26" s="132" t="s">
        <v>182</v>
      </c>
      <c r="K26" s="132" t="s">
        <v>87</v>
      </c>
    </row>
    <row r="27" spans="3:11" ht="72.5">
      <c r="C27" s="112" t="s">
        <v>141</v>
      </c>
      <c r="D27" s="113">
        <v>630900</v>
      </c>
      <c r="H27" s="132" t="s">
        <v>88</v>
      </c>
      <c r="I27" s="132" t="s">
        <v>3</v>
      </c>
      <c r="J27" s="132" t="s">
        <v>182</v>
      </c>
      <c r="K27" s="132" t="s">
        <v>89</v>
      </c>
    </row>
    <row r="28" spans="3:11" ht="58">
      <c r="C28" s="112" t="s">
        <v>142</v>
      </c>
      <c r="D28" s="113">
        <v>998413</v>
      </c>
      <c r="H28" s="132" t="s">
        <v>79</v>
      </c>
      <c r="I28" s="132" t="s">
        <v>2</v>
      </c>
      <c r="J28" s="132" t="s">
        <v>182</v>
      </c>
      <c r="K28" s="132" t="s">
        <v>184</v>
      </c>
    </row>
    <row r="29" spans="3:11" ht="43.5">
      <c r="C29" s="112" t="s">
        <v>143</v>
      </c>
      <c r="D29" s="113">
        <v>1282175</v>
      </c>
      <c r="H29" s="132" t="s">
        <v>80</v>
      </c>
      <c r="I29" s="132" t="s">
        <v>2</v>
      </c>
      <c r="J29" s="132" t="s">
        <v>182</v>
      </c>
      <c r="K29" s="132" t="s">
        <v>183</v>
      </c>
    </row>
    <row r="30" spans="3:11" ht="72.5">
      <c r="C30" s="112" t="s">
        <v>144</v>
      </c>
      <c r="D30" s="113">
        <v>1282309</v>
      </c>
      <c r="H30" s="132" t="s">
        <v>81</v>
      </c>
      <c r="I30" s="132" t="s">
        <v>2</v>
      </c>
      <c r="J30" s="132" t="s">
        <v>182</v>
      </c>
      <c r="K30" s="132" t="s">
        <v>93</v>
      </c>
    </row>
    <row r="31" spans="3:11" ht="58">
      <c r="C31" s="112" t="s">
        <v>145</v>
      </c>
      <c r="D31" s="113">
        <v>1369892</v>
      </c>
      <c r="H31" s="132" t="s">
        <v>90</v>
      </c>
      <c r="I31" s="132" t="s">
        <v>2</v>
      </c>
      <c r="J31" s="132" t="s">
        <v>182</v>
      </c>
      <c r="K31" s="132" t="s">
        <v>91</v>
      </c>
    </row>
    <row r="32" spans="3:11" ht="58">
      <c r="C32" s="112" t="s">
        <v>146</v>
      </c>
      <c r="D32" s="113">
        <v>935767</v>
      </c>
      <c r="H32" s="132" t="s">
        <v>92</v>
      </c>
      <c r="I32" s="132" t="s">
        <v>2</v>
      </c>
      <c r="J32" s="132" t="s">
        <v>182</v>
      </c>
      <c r="K32" s="132" t="s">
        <v>185</v>
      </c>
    </row>
    <row r="33" spans="3:4" ht="29">
      <c r="C33" s="112" t="s">
        <v>147</v>
      </c>
      <c r="D33" s="113">
        <v>1365986</v>
      </c>
    </row>
    <row r="34" spans="3:4" ht="43.5">
      <c r="C34" s="112" t="s">
        <v>148</v>
      </c>
      <c r="D34" s="113">
        <v>1381856</v>
      </c>
    </row>
    <row r="35" spans="3:4">
      <c r="C35" s="112" t="s">
        <v>149</v>
      </c>
      <c r="D35" s="113">
        <v>1130166</v>
      </c>
    </row>
    <row r="36" spans="3:4" ht="29">
      <c r="C36" s="112" t="s">
        <v>150</v>
      </c>
      <c r="D36" s="113">
        <v>1538423</v>
      </c>
    </row>
    <row r="37" spans="3:4">
      <c r="C37" s="112" t="s">
        <v>151</v>
      </c>
      <c r="D37" s="113">
        <v>1383608</v>
      </c>
    </row>
    <row r="38" spans="3:4">
      <c r="C38" s="112" t="s">
        <v>152</v>
      </c>
      <c r="D38" s="113">
        <v>412472</v>
      </c>
    </row>
    <row r="39" spans="3:4" ht="29">
      <c r="C39" s="112" t="s">
        <v>153</v>
      </c>
      <c r="D39" s="113">
        <v>1470304</v>
      </c>
    </row>
    <row r="40" spans="3:4" ht="29">
      <c r="C40" s="112" t="s">
        <v>154</v>
      </c>
      <c r="D40" s="113">
        <v>1830048</v>
      </c>
    </row>
    <row r="41" spans="3:4" ht="29">
      <c r="C41" s="112" t="s">
        <v>155</v>
      </c>
      <c r="D41" s="113">
        <v>1313716</v>
      </c>
    </row>
    <row r="42" spans="3:4" ht="29">
      <c r="C42" s="112" t="s">
        <v>156</v>
      </c>
      <c r="D42" s="113">
        <v>811961</v>
      </c>
    </row>
    <row r="43" spans="3:4" ht="29">
      <c r="C43" s="112" t="s">
        <v>157</v>
      </c>
      <c r="D43" s="113">
        <v>1682652</v>
      </c>
    </row>
    <row r="44" spans="3:4" ht="29">
      <c r="C44" s="112" t="s">
        <v>158</v>
      </c>
      <c r="D44" s="113">
        <v>2331357</v>
      </c>
    </row>
    <row r="45" spans="3:4" ht="29">
      <c r="C45" s="112" t="s">
        <v>159</v>
      </c>
      <c r="D45" s="113">
        <v>787531</v>
      </c>
    </row>
    <row r="46" spans="3:4" ht="43.5">
      <c r="C46" s="112" t="s">
        <v>160</v>
      </c>
      <c r="D46" s="113">
        <v>1942370</v>
      </c>
    </row>
    <row r="47" spans="3:4" ht="29">
      <c r="C47" s="112" t="s">
        <v>161</v>
      </c>
      <c r="D47" s="113">
        <v>712073</v>
      </c>
    </row>
    <row r="48" spans="3:4" ht="29">
      <c r="C48" s="112" t="s">
        <v>162</v>
      </c>
      <c r="D48" s="113">
        <v>1295367</v>
      </c>
    </row>
    <row r="49" spans="3:4" ht="29">
      <c r="C49" s="112" t="s">
        <v>163</v>
      </c>
      <c r="D49" s="113">
        <v>1527154</v>
      </c>
    </row>
    <row r="50" spans="3:4" ht="43.5">
      <c r="C50" s="112" t="s">
        <v>164</v>
      </c>
      <c r="D50" s="113">
        <v>397028</v>
      </c>
    </row>
    <row r="51" spans="3:4" ht="58">
      <c r="C51" s="112" t="s">
        <v>165</v>
      </c>
      <c r="D51" s="113">
        <v>2160210</v>
      </c>
    </row>
    <row r="52" spans="3:4" ht="58">
      <c r="C52" s="112" t="s">
        <v>166</v>
      </c>
      <c r="D52" s="113">
        <v>1658015</v>
      </c>
    </row>
    <row r="53" spans="3:4" ht="58">
      <c r="C53" s="112" t="s">
        <v>167</v>
      </c>
      <c r="D53" s="113">
        <v>1034335</v>
      </c>
    </row>
    <row r="54" spans="3:4" ht="72.5">
      <c r="C54" s="112" t="s">
        <v>168</v>
      </c>
      <c r="D54" s="113">
        <v>880145</v>
      </c>
    </row>
    <row r="55" spans="3:4" ht="58">
      <c r="C55" s="112" t="s">
        <v>169</v>
      </c>
      <c r="D55" s="113">
        <v>1610333</v>
      </c>
    </row>
    <row r="56" spans="3:4" ht="58">
      <c r="C56" s="112" t="s">
        <v>170</v>
      </c>
      <c r="D56" s="113">
        <v>413796</v>
      </c>
    </row>
    <row r="57" spans="3:4" ht="72.5">
      <c r="C57" s="112" t="s">
        <v>171</v>
      </c>
      <c r="D57" s="113">
        <v>387847</v>
      </c>
    </row>
    <row r="59" spans="3:4">
      <c r="D59" s="86">
        <f>SUM(D21:D58)</f>
        <v>45865871</v>
      </c>
    </row>
    <row r="61" spans="3:4">
      <c r="D61" s="12">
        <f>D59/31*8</f>
        <v>11836353.806451613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2026-05-10T15:30:46Z</dcterms:modified>
</cp:coreProperties>
</file>