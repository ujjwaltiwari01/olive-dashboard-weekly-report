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mc:AlternateContent xmlns:mc="http://schemas.openxmlformats.org/markup-compatibility/2006">
    <mc:Choice Requires="x15">
      <x15ac:absPath xmlns:x15ac="http://schemas.microsoft.com/office/spreadsheetml/2010/11/ac" url="D:\olive weekly report dashboard\"/>
    </mc:Choice>
  </mc:AlternateContent>
  <bookViews>
    <workbookView xWindow="-110" yWindow="-110" windowWidth="19420" windowHeight="11500" activeTab="3"/>
  </bookViews>
  <sheets>
    <sheet name="Signing" sheetId="1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/>
</workbook>
</file>

<file path=xl/calcChain.xml><?xml version="1.0" encoding="utf-8"?>
<calcChain xmlns="http://schemas.openxmlformats.org/spreadsheetml/2006/main">
  <c i="6" l="1" r="D16"/>
  <c r="N13"/>
  <c r="I13"/>
  <c r="D8"/>
  <c i="5" r="J39"/>
  <c r="I39"/>
  <c r="E39"/>
  <c r="J35"/>
  <c r="I35"/>
  <c r="I34"/>
  <c r="J33"/>
  <c r="I33"/>
  <c r="E33"/>
  <c r="C33"/>
  <c r="J30"/>
  <c r="I30"/>
  <c r="E30"/>
  <c r="C30"/>
  <c r="I29"/>
  <c r="I28"/>
  <c r="E28"/>
  <c r="I27"/>
  <c r="I26"/>
  <c r="I25"/>
  <c r="I24"/>
  <c r="I23"/>
  <c r="I22"/>
  <c r="I21"/>
  <c r="I20"/>
  <c r="C20"/>
  <c r="I19"/>
  <c r="I18"/>
  <c r="I17"/>
  <c r="I16"/>
  <c r="I15"/>
  <c r="I14"/>
  <c r="I13"/>
  <c r="I12"/>
  <c r="I11"/>
  <c r="I10"/>
  <c i="4" r="H11"/>
  <c r="G11"/>
  <c r="F11"/>
  <c r="E11"/>
  <c r="D11"/>
  <c r="C11"/>
  <c r="H10"/>
  <c r="D10"/>
  <c r="C10"/>
  <c r="H9"/>
  <c r="D9"/>
  <c r="H8"/>
  <c r="D8"/>
  <c i="3" r="F26"/>
  <c r="C26"/>
  <c r="J24"/>
  <c r="G24"/>
  <c r="D24"/>
  <c r="J23"/>
  <c r="G23"/>
  <c r="D23"/>
  <c r="J22"/>
  <c r="F17"/>
  <c r="C17"/>
  <c r="J15"/>
  <c r="G15"/>
  <c r="D15"/>
  <c r="J14"/>
  <c r="G14"/>
  <c r="D14"/>
  <c r="J13"/>
  <c r="F8"/>
  <c r="C8"/>
  <c r="J6"/>
  <c r="G6"/>
  <c r="D6"/>
  <c r="J5"/>
  <c r="G5"/>
  <c r="D5"/>
  <c r="J4"/>
  <c i="2" r="G26"/>
  <c r="F26"/>
  <c r="E26"/>
  <c r="D26"/>
  <c r="C26"/>
  <c r="G25"/>
  <c r="F25"/>
  <c r="E25"/>
  <c r="C25"/>
  <c r="G22"/>
  <c r="G21"/>
  <c r="G19"/>
  <c r="G18"/>
  <c r="P13"/>
  <c r="O13"/>
  <c r="N13"/>
  <c r="M13"/>
  <c r="L13"/>
  <c r="K13"/>
  <c r="J13"/>
  <c r="I13"/>
  <c r="H13"/>
  <c r="G13"/>
  <c r="F13"/>
  <c r="E13"/>
  <c r="D13"/>
  <c r="C13"/>
  <c r="P12"/>
  <c r="O12"/>
  <c r="N12"/>
  <c r="M12"/>
  <c r="L12"/>
  <c r="K12"/>
  <c r="J12"/>
  <c r="I12"/>
  <c r="H12"/>
  <c r="G12"/>
  <c r="F12"/>
  <c r="E12"/>
  <c r="D12"/>
  <c r="C12"/>
  <c r="P11"/>
  <c r="P10"/>
  <c r="P8"/>
  <c r="O8"/>
  <c r="N8"/>
  <c r="M8"/>
  <c r="L8"/>
  <c r="K8"/>
  <c r="J8"/>
  <c r="I8"/>
  <c r="H8"/>
  <c r="G8"/>
  <c r="F8"/>
  <c r="E8"/>
  <c r="D8"/>
  <c r="C8"/>
  <c r="P7"/>
  <c r="O7"/>
  <c r="N7"/>
  <c r="M7"/>
  <c r="L7"/>
  <c r="K7"/>
  <c r="J7"/>
  <c r="I7"/>
  <c r="H7"/>
  <c r="G7"/>
  <c r="F7"/>
  <c r="E7"/>
  <c r="D7"/>
  <c r="C7"/>
  <c r="P6"/>
  <c r="P5"/>
  <c r="O3"/>
  <c r="N3"/>
  <c r="M3"/>
  <c r="L3"/>
  <c r="K3"/>
  <c r="J3"/>
  <c r="I3"/>
  <c r="H3"/>
  <c r="G3"/>
  <c r="F3"/>
  <c r="E3"/>
  <c i="1" r="H27"/>
  <c r="H25"/>
  <c r="H24"/>
  <c r="H23"/>
  <c r="P18"/>
  <c r="O18"/>
  <c r="N18"/>
  <c r="M18"/>
  <c r="L18"/>
  <c r="K18"/>
  <c r="J18"/>
  <c r="I18"/>
  <c r="H18"/>
  <c r="G18"/>
  <c r="F18"/>
  <c r="E18"/>
  <c r="D18"/>
  <c r="C18"/>
  <c r="P17"/>
  <c r="O17"/>
  <c r="N17"/>
  <c r="M17"/>
  <c r="L17"/>
  <c r="K17"/>
  <c r="J17"/>
  <c r="I17"/>
  <c r="H17"/>
  <c r="G17"/>
  <c r="F17"/>
  <c r="E17"/>
  <c r="D17"/>
  <c r="C17"/>
  <c r="P16"/>
  <c r="P15"/>
  <c r="P14"/>
  <c r="P13"/>
  <c r="O13"/>
  <c r="N13"/>
  <c r="M13"/>
  <c r="L13"/>
  <c r="K13"/>
  <c r="J13"/>
  <c r="I13"/>
  <c r="H13"/>
  <c r="G13"/>
  <c r="F13"/>
  <c r="E13"/>
  <c r="D13"/>
  <c r="C13"/>
  <c r="P12"/>
  <c r="O12"/>
  <c r="N12"/>
  <c r="M12"/>
  <c r="L12"/>
  <c r="K12"/>
  <c r="J12"/>
  <c r="I12"/>
  <c r="H12"/>
  <c r="G12"/>
  <c r="F12"/>
  <c r="E12"/>
  <c r="D12"/>
  <c r="C12"/>
  <c r="P11"/>
  <c r="P10"/>
  <c r="P8"/>
  <c r="O8"/>
  <c r="N8"/>
  <c r="M8"/>
  <c r="L8"/>
  <c r="K8"/>
  <c r="J8"/>
  <c r="I8"/>
  <c r="H8"/>
  <c r="G8"/>
  <c r="F8"/>
  <c r="E8"/>
  <c r="D8"/>
  <c r="C8"/>
  <c r="P7"/>
  <c r="O7"/>
  <c r="N7"/>
  <c r="M7"/>
  <c r="L7"/>
  <c r="K7"/>
  <c r="J7"/>
  <c r="I7"/>
  <c r="H7"/>
  <c r="G7"/>
  <c r="F7"/>
  <c r="E7"/>
  <c r="D7"/>
  <c r="C7"/>
  <c r="P6"/>
  <c r="P5"/>
  <c r="O3"/>
  <c r="N3"/>
  <c r="M3"/>
  <c r="L3"/>
  <c r="K3"/>
  <c r="J3"/>
  <c r="I3"/>
  <c r="H3"/>
  <c r="G3"/>
  <c r="F3"/>
  <c r="E3"/>
</calcChain>
</file>

<file path=xl/comments1.xml><?xml version="1.0" encoding="utf-8"?>
<comments xmlns="http://schemas.openxmlformats.org/spreadsheetml/2006/main">
  <authors>
    <author>tc={2DF3315A-21F6-4465-8DD2-4F7B368BCDAD}</author>
    <author>tc={30996A56-F3B7-47CD-856D-28D39738B1D7}</author>
    <author>tc={914C6D32-E202-4ED0-9DF0-CA6D80882930}</author>
  </authors>
  <commentList>
    <comment ref="P7" authorId="0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2" authorId="1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7" authorId="2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</commentList>
</comments>
</file>

<file path=xl/comments2.xml><?xml version="1.0" encoding="utf-8"?>
<comments xmlns="http://schemas.openxmlformats.org/spreadsheetml/2006/main">
  <authors>
    <author>tc={CADE0C93-7C6B-4A65-9638-5BC952EBAF60}</author>
    <author>tc={93627DF0-F0EC-4D87-801B-760854F3EFE9}</author>
  </authors>
  <commentList>
    <comment ref="P7" authorId="0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2" authorId="1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</commentList>
</comments>
</file>

<file path=xl/sharedStrings.xml><?xml version="1.0" encoding="utf-8"?>
<sst xmlns="http://schemas.openxmlformats.org/spreadsheetml/2006/main">
  <si>
    <t>Signings</t>
  </si>
  <si>
    <t>brought forward</t>
  </si>
  <si>
    <t>Total</t>
  </si>
  <si>
    <t>OLIVE</t>
  </si>
  <si>
    <t>Total Keys</t>
  </si>
  <si>
    <t>Total Properties</t>
  </si>
  <si>
    <t>Cumulative Properties</t>
  </si>
  <si>
    <t>Cumulative keys</t>
  </si>
  <si>
    <t>SPARK</t>
  </si>
  <si>
    <t>Cumulative</t>
  </si>
  <si>
    <t>OPEN</t>
  </si>
  <si>
    <t>Week 1</t>
  </si>
  <si>
    <t>Week 2</t>
  </si>
  <si>
    <t>Week 3</t>
  </si>
  <si>
    <t>Week 4</t>
  </si>
  <si>
    <t>Brands</t>
  </si>
  <si>
    <t>Open</t>
  </si>
  <si>
    <t>Olive</t>
  </si>
  <si>
    <t>Spark</t>
  </si>
  <si>
    <t>Operational</t>
  </si>
  <si>
    <t>brought forwrad</t>
  </si>
  <si>
    <t>Cumulative Keys</t>
  </si>
  <si>
    <t>-Properties</t>
  </si>
  <si>
    <t>-Keys</t>
  </si>
  <si>
    <t>1`</t>
  </si>
  <si>
    <t>March '26 WIP</t>
  </si>
  <si>
    <t>Keys</t>
  </si>
  <si>
    <t>Target date</t>
  </si>
  <si>
    <t xml:space="preserve">Olive  </t>
  </si>
  <si>
    <t>Nagavara (JC Reddy)</t>
  </si>
  <si>
    <t>April '26</t>
  </si>
  <si>
    <t>Journalist colony (Hyd)</t>
  </si>
  <si>
    <t>VIP Road, Vizag (Venkata Savitri Ravisetty)</t>
  </si>
  <si>
    <t>JP Nagar (Santosh)</t>
  </si>
  <si>
    <t>Hulimavu</t>
  </si>
  <si>
    <t>Guntur</t>
  </si>
  <si>
    <t>March'26 - same period</t>
  </si>
  <si>
    <t>Target</t>
  </si>
  <si>
    <t>Actuals</t>
  </si>
  <si>
    <t>Achievement</t>
  </si>
  <si>
    <t>Overall</t>
  </si>
  <si>
    <t>Online</t>
  </si>
  <si>
    <t>Offline</t>
  </si>
  <si>
    <t>March 25</t>
  </si>
  <si>
    <t>March 26</t>
  </si>
  <si>
    <t>YoY - growth</t>
  </si>
  <si>
    <t>March'26 - existing properties</t>
  </si>
  <si>
    <t>Cashflow - Summary</t>
  </si>
  <si>
    <t>March '26</t>
  </si>
  <si>
    <t>Received</t>
  </si>
  <si>
    <t>Expected</t>
  </si>
  <si>
    <t>Inflow</t>
  </si>
  <si>
    <t>W1</t>
  </si>
  <si>
    <t>W2</t>
  </si>
  <si>
    <t>W3</t>
  </si>
  <si>
    <t>W4</t>
  </si>
  <si>
    <t>TA fees</t>
  </si>
  <si>
    <t>Management fees</t>
  </si>
  <si>
    <t>Profit Incentive</t>
  </si>
  <si>
    <t xml:space="preserve">Total </t>
  </si>
  <si>
    <t>Outflow</t>
  </si>
  <si>
    <t>Immediate payments</t>
  </si>
  <si>
    <t>Current bank balance</t>
  </si>
  <si>
    <t>-Coliving Operations</t>
  </si>
  <si>
    <t>- Coliving</t>
  </si>
  <si>
    <t>-VARS</t>
  </si>
  <si>
    <t>Closing Cash - expected</t>
  </si>
  <si>
    <t>Cashflow - Breakdown</t>
  </si>
  <si>
    <t>March</t>
  </si>
  <si>
    <t>Collections</t>
  </si>
  <si>
    <t xml:space="preserve">Expected </t>
  </si>
  <si>
    <t>1. TA fees</t>
  </si>
  <si>
    <t>a) Spark</t>
  </si>
  <si>
    <t>Spark Rajkot (Aditya Lakhani)</t>
  </si>
  <si>
    <t>Spark Navsari</t>
  </si>
  <si>
    <t>Spark Jaipur, Mahapura</t>
  </si>
  <si>
    <t>Spark Saddahalli ft Nandan</t>
  </si>
  <si>
    <t>Super Corridor</t>
  </si>
  <si>
    <t>Mumbai - Spark - Andheri - Le Grande</t>
  </si>
  <si>
    <t>Tirumala Bypass Road, Tirupati</t>
  </si>
  <si>
    <t>Vision Ventures-Siddhivinayaka Group (Rushabh Sangla)</t>
  </si>
  <si>
    <t>REIT</t>
  </si>
  <si>
    <t xml:space="preserve">Krish Realtors Private limited </t>
  </si>
  <si>
    <t>b) Olive</t>
  </si>
  <si>
    <t>OYO Townhouse Chikkajala</t>
  </si>
  <si>
    <t>Blu Sands - Vizag</t>
  </si>
  <si>
    <t>Olive Gurugram - Sector 47</t>
  </si>
  <si>
    <t>Olive Dehradun</t>
  </si>
  <si>
    <t>Cozi HiTech City</t>
  </si>
  <si>
    <t>Olive Jayadeva Hospital</t>
  </si>
  <si>
    <t>c) Open set-up fees</t>
  </si>
  <si>
    <t>Total TA fees</t>
  </si>
  <si>
    <t>2. Management fees</t>
  </si>
  <si>
    <t>3. Profit Incentive</t>
  </si>
  <si>
    <t>Total Inflow</t>
  </si>
  <si>
    <t>Dairy circle</t>
  </si>
  <si>
    <t>-Salaries</t>
  </si>
  <si>
    <t>hitech</t>
  </si>
  <si>
    <t>-Car EMI</t>
  </si>
  <si>
    <t>kundahalli</t>
  </si>
  <si>
    <t>-EE reimbursements</t>
  </si>
  <si>
    <t>vijawada</t>
  </si>
  <si>
    <t>-medical insurance</t>
  </si>
  <si>
    <t>Vasanth nagar</t>
  </si>
  <si>
    <t>-OPC</t>
  </si>
  <si>
    <t>-Hisca</t>
  </si>
  <si>
    <t>Rajaji nahar</t>
  </si>
  <si>
    <t>-Rent</t>
  </si>
  <si>
    <t>-Zoho</t>
  </si>
  <si>
    <t>Domlur</t>
  </si>
  <si>
    <t>Travel agency</t>
  </si>
  <si>
    <t>Meera - Goa</t>
  </si>
  <si>
    <t>-Kingshuk</t>
  </si>
  <si>
    <t>Indiranagar</t>
  </si>
  <si>
    <t>Nivasa</t>
  </si>
</sst>
</file>

<file path=xl/styles.xml><?xml version="1.0" encoding="utf-8"?>
<styleSheet xmlns="http://schemas.openxmlformats.org/spreadsheetml/2006/main">
  <numFmts count="3">
    <numFmt numFmtId="165" formatCode="_ * #,##0_ ;_ * -#,##0_ ;_ * &quot;-&quot;??_ ;_ @_ "/>
    <numFmt numFmtId="166" formatCode="_(* #,##0_);_(* (#,##0);_(* &quot;-&quot;??_);_(@_)"/>
    <numFmt numFmtId="164" formatCode="_ * #,##0.00_ ;_ * -#,##0.00_ ;_ * &quot;-&quot;??_ ;_ @_ "/>
  </numFmts>
  <fonts count="18">
    <font>
      <sz val="11"/>
      <color theme="1"/>
      <name val="Aptos Narrow"/>
      <family val="2"/>
      <scheme val="minor"/>
    </font>
    <font>
      <sz val="2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000000"/>
      <name val="Inherit"/>
    </font>
    <font>
      <sz val="12"/>
      <color rgb="FF000000"/>
      <name val="Aptos"/>
    </font>
    <font>
      <b/>
      <sz val="16"/>
      <color indexed="9"/>
      <name val="Aptos Narrow"/>
      <scheme val="minor"/>
    </font>
    <font>
      <b/>
      <i/>
      <sz val="16"/>
      <color indexed="9"/>
      <name val="Aptos Narrow"/>
      <scheme val="minor"/>
    </font>
    <font>
      <b/>
      <sz val="12"/>
      <color indexed="9"/>
      <name val="Aptos Narrow"/>
      <scheme val="minor"/>
    </font>
    <font>
      <b/>
      <i/>
      <sz val="14"/>
      <color indexed="9"/>
      <name val="Aptos Narrow"/>
      <scheme val="minor"/>
    </font>
    <font>
      <b/>
      <sz val="11"/>
      <color indexed="8"/>
      <name val="Aptos Narrow"/>
      <scheme val="minor"/>
    </font>
    <font>
      <sz val="11"/>
      <color indexed="18"/>
      <name val="Aptos Narrow"/>
      <scheme val="minor"/>
    </font>
    <font>
      <b/>
      <i/>
      <sz val="10"/>
      <color indexed="9"/>
      <name val="Aptos Narrow"/>
      <scheme val="minor"/>
    </font>
    <font>
      <sz val="11"/>
      <color indexed="8"/>
      <name val="Aptos Narrow"/>
      <scheme val="minor"/>
    </font>
    <font>
      <sz val="11"/>
      <color theme="1"/>
      <name val="gopher"/>
    </font>
    <font>
      <sz val="11"/>
      <color theme="1"/>
      <name val="Aptos Narrow"/>
    </font>
    <font>
      <sz val="11"/>
      <color rgb="FF000000"/>
      <name val="gopher"/>
    </font>
    <font>
      <sz val="11"/>
      <color rgb="FF000000"/>
      <name val="Aptos Narrow"/>
    </font>
    <font>
      <b/>
      <sz val="11"/>
      <color theme="1"/>
      <name val="Aptos Narrow"/>
    </font>
  </fonts>
  <fills count="1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799981688894314"/>
        <bgColor indexed="65"/>
      </patternFill>
    </fill>
  </fills>
  <borders count="25">
    <border/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indexed="64"/>
      </left>
      <right style="thin">
        <color rgb="FF000000"/>
      </right>
      <top style="medium">
        <color indexed="64"/>
      </top>
    </border>
    <border>
      <left style="thin">
        <color rgb="FF000000"/>
      </left>
      <right style="thin">
        <color rgb="FF000000"/>
      </right>
      <top style="medium">
        <color indexed="64"/>
      </top>
    </border>
    <border>
      <left style="thin">
        <color rgb="FF000000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indexed="64"/>
      </right>
      <bottom style="thin">
        <color rgb="FF000000"/>
      </bottom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indexed="64"/>
      </right>
    </border>
    <border>
      <left style="medium">
        <color indexed="64"/>
      </left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</border>
    <border>
      <left style="medium">
        <color indexed="64"/>
      </left>
      <bottom style="medium">
        <color indexed="64"/>
      </bottom>
    </border>
    <border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</borders>
  <cellStyleXfs count="4">
    <xf numFmtId="0" fontId="0" fillId="0" borderId="0"/>
    <xf numFmtId="16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13" borderId="0" applyNumberFormat="0" applyBorder="0" applyAlignment="0" applyProtection="0"/>
  </cellStyleXfs>
  <cellXfs count="96">
    <xf numFmtId="0" fontId="0" fillId="0" borderId="0" xfId="0"/>
    <xf numFmtId="0" fontId="1" fillId="0" borderId="0" xfId="0" applyFont="1"/>
    <xf numFmtId="17" fontId="2" fillId="2" borderId="1" xfId="0" applyNumberFormat="1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0" fontId="2" fillId="4" borderId="2" xfId="0" applyFont="1" applyFill="1" applyBorder="1"/>
    <xf numFmtId="0" fontId="2" fillId="2" borderId="0" xfId="0" applyFont="1" applyFill="1"/>
    <xf numFmtId="0" fontId="2" fillId="5" borderId="3" xfId="0" applyFont="1" applyFill="1" applyBorder="1"/>
    <xf numFmtId="0" fontId="2" fillId="2" borderId="3" xfId="0" applyFont="1" applyFill="1" applyBorder="1"/>
    <xf numFmtId="0" fontId="2" fillId="5" borderId="3" xfId="0" applyFont="1" applyFill="1" applyBorder="1" applyAlignment="1">
      <alignment horizontal="center"/>
    </xf>
    <xf numFmtId="0" fontId="0" fillId="6" borderId="0" xfId="0" applyFill="1"/>
    <xf numFmtId="0" fontId="0" fillId="2" borderId="0" xfId="0" applyFill="1"/>
    <xf numFmtId="0" fontId="2" fillId="6" borderId="3" xfId="0" applyFont="1" applyFill="1" applyBorder="1" applyAlignment="1">
      <alignment horizontal="center"/>
    </xf>
    <xf numFmtId="0" fontId="2" fillId="4" borderId="3" xfId="0" applyFont="1" applyFill="1" applyBorder="1"/>
    <xf numFmtId="0" fontId="0" fillId="7" borderId="4" xfId="0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7" borderId="6" xfId="0" applyFont="1" applyFill="1" applyBorder="1" applyAlignment="1">
      <alignment vertical="center"/>
    </xf>
    <xf numFmtId="0" fontId="4" fillId="7" borderId="6" xfId="0" applyFont="1" applyFill="1" applyBorder="1" applyAlignment="1">
      <alignment horizontal="right" vertical="center"/>
    </xf>
    <xf numFmtId="0" fontId="2" fillId="4" borderId="0" xfId="0" applyFont="1" applyFill="1"/>
    <xf numFmtId="0" fontId="0" fillId="7" borderId="7" xfId="0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0" fontId="3" fillId="7" borderId="9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0" fontId="3" fillId="7" borderId="11" xfId="0" applyFont="1" applyFill="1" applyBorder="1" applyAlignment="1">
      <alignment vertical="center"/>
    </xf>
    <xf numFmtId="0" fontId="3" fillId="7" borderId="12" xfId="0" applyFont="1" applyFill="1" applyBorder="1" applyAlignment="1">
      <alignment vertical="center"/>
    </xf>
    <xf numFmtId="0" fontId="0" fillId="0" borderId="13" xfId="0" applyBorder="1"/>
    <xf numFmtId="0" fontId="0" fillId="0" borderId="14" xfId="0" quotePrefix="1" applyBorder="1"/>
    <xf numFmtId="0" fontId="4" fillId="7" borderId="15" xfId="0" applyFont="1" applyFill="1" applyBorder="1" applyAlignment="1">
      <alignment horizontal="right" vertical="center"/>
    </xf>
    <xf numFmtId="0" fontId="0" fillId="0" borderId="14" xfId="0" applyBorder="1"/>
    <xf numFmtId="0" fontId="0" fillId="0" borderId="16" xfId="0" quotePrefix="1" applyBorder="1"/>
    <xf numFmtId="0" fontId="0" fillId="0" borderId="17" xfId="0" applyBorder="1"/>
    <xf numFmtId="0" fontId="0" fillId="0" borderId="18" xfId="0" applyBorder="1"/>
    <xf numFmtId="0" fontId="2" fillId="0" borderId="0" xfId="0" applyFont="1"/>
    <xf numFmtId="0" fontId="0" fillId="0" borderId="19" xfId="0" applyBorder="1"/>
    <xf numFmtId="0" fontId="0" fillId="4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17" fontId="0" fillId="0" borderId="0" xfId="0" applyNumberFormat="1"/>
    <xf numFmtId="9" fontId="0" fillId="0" borderId="0" xfId="2" applyFont="1"/>
    <xf numFmtId="165" fontId="2" fillId="0" borderId="0" xfId="1" applyNumberFormat="1" applyFont="1" applyFill="1"/>
    <xf numFmtId="165" fontId="0" fillId="0" borderId="0" xfId="0" applyNumberFormat="1"/>
    <xf numFmtId="165" fontId="0" fillId="0" borderId="0" xfId="1" quotePrefix="1" applyNumberFormat="1" applyFont="1"/>
    <xf numFmtId="17" fontId="0" fillId="0" borderId="0" xfId="0" quotePrefix="1" applyNumberFormat="1"/>
    <xf numFmtId="0" fontId="0" fillId="0" borderId="0" xfId="0" applyFont="1"/>
    <xf numFmtId="0" fontId="5" fillId="8" borderId="20" xfId="0" applyFont="1" applyFill="1" applyBorder="1" applyAlignment="1">
      <alignment horizontal="centerContinuous"/>
    </xf>
    <xf numFmtId="165" fontId="6" fillId="8" borderId="21" xfId="1" applyNumberFormat="1" applyFont="1" applyFill="1" applyBorder="1" applyAlignment="1">
      <alignment horizontal="centerContinuous"/>
    </xf>
    <xf numFmtId="0" fontId="6" fillId="8" borderId="22" xfId="0" applyFont="1" applyFill="1" applyBorder="1" applyAlignment="1">
      <alignment horizontal="centerContinuous"/>
    </xf>
    <xf numFmtId="0" fontId="7" fillId="8" borderId="23" xfId="0" applyFont="1" applyFill="1" applyBorder="1" applyAlignment="1">
      <alignment horizontal="left"/>
    </xf>
    <xf numFmtId="165" fontId="8" fillId="8" borderId="21" xfId="1" applyNumberFormat="1" applyFont="1" applyFill="1" applyBorder="1" applyAlignment="1">
      <alignment horizontal="center"/>
    </xf>
    <xf numFmtId="165" fontId="8" fillId="8" borderId="22" xfId="1" applyNumberFormat="1" applyFont="1" applyFill="1" applyBorder="1" applyAlignment="1">
      <alignment horizontal="center"/>
    </xf>
    <xf numFmtId="0" fontId="9" fillId="9" borderId="21" xfId="0" applyFont="1" applyFill="1" applyBorder="1" applyAlignment="1">
      <alignment horizontal="left"/>
    </xf>
    <xf numFmtId="165" fontId="10" fillId="9" borderId="22" xfId="1" applyNumberFormat="1" applyFont="1" applyFill="1" applyBorder="1" applyAlignment="1"/>
    <xf numFmtId="0" fontId="10" fillId="9" borderId="22" xfId="0" applyFont="1" applyFill="1" applyBorder="1"/>
    <xf numFmtId="165" fontId="11" fillId="8" borderId="22" xfId="1" applyNumberFormat="1" applyFont="1" applyFill="1" applyBorder="1" applyAlignment="1">
      <alignment horizontal="right"/>
    </xf>
    <xf numFmtId="0" fontId="11" fillId="8" borderId="0" xfId="0" applyFont="1" applyFill="1" applyBorder="1" applyAlignment="1">
      <alignment horizontal="center"/>
    </xf>
    <xf numFmtId="0" fontId="7" fillId="8" borderId="21" xfId="0" applyFont="1" applyFill="1" applyBorder="1" applyAlignment="1">
      <alignment horizontal="left"/>
    </xf>
    <xf numFmtId="165" fontId="10" fillId="10" borderId="0" xfId="1" applyNumberFormat="1" applyFont="1" applyFill="1" applyBorder="1" applyAlignment="1"/>
    <xf numFmtId="0" fontId="10" fillId="10" borderId="0" xfId="0" applyFont="1" applyFill="1"/>
    <xf numFmtId="0" fontId="9" fillId="10" borderId="14" xfId="0" applyFont="1" applyFill="1" applyBorder="1" applyAlignment="1">
      <alignment horizontal="left"/>
    </xf>
    <xf numFmtId="3" fontId="10" fillId="10" borderId="0" xfId="0" applyNumberFormat="1" applyFont="1" applyFill="1" applyAlignment="1">
      <alignment vertical="center"/>
    </xf>
    <xf numFmtId="165" fontId="0" fillId="0" borderId="0" xfId="0" applyNumberFormat="1" applyFont="1"/>
    <xf numFmtId="3" fontId="10" fillId="10" borderId="0" xfId="0" applyNumberFormat="1" applyFont="1" applyFill="1"/>
    <xf numFmtId="0" fontId="12" fillId="10" borderId="14" xfId="0" applyFont="1" applyFill="1" applyBorder="1" applyAlignment="1">
      <alignment horizontal="left"/>
    </xf>
    <xf numFmtId="3" fontId="0" fillId="0" borderId="0" xfId="0" applyNumberFormat="1" applyFont="1"/>
    <xf numFmtId="0" fontId="9" fillId="9" borderId="21" xfId="0" quotePrefix="1" applyFont="1" applyFill="1" applyBorder="1" applyAlignment="1">
      <alignment horizontal="left"/>
    </xf>
    <xf numFmtId="166" fontId="10" fillId="9" borderId="22" xfId="1" applyNumberFormat="1" applyFont="1" applyFill="1" applyBorder="1" applyAlignment="1"/>
    <xf numFmtId="0" fontId="9" fillId="10" borderId="0" xfId="0" applyFont="1" applyFill="1" applyAlignment="1">
      <alignment horizontal="left"/>
    </xf>
    <xf numFmtId="165" fontId="6" fillId="8" borderId="22" xfId="1" applyNumberFormat="1" applyFont="1" applyFill="1" applyBorder="1" applyAlignment="1">
      <alignment horizontal="centerContinuous"/>
    </xf>
    <xf numFmtId="0" fontId="11" fillId="8" borderId="22" xfId="0" applyFont="1" applyFill="1" applyBorder="1" applyAlignment="1">
      <alignment horizontal="center"/>
    </xf>
    <xf numFmtId="0" fontId="11" fillId="8" borderId="22" xfId="0" applyFont="1" applyFill="1" applyBorder="1" applyAlignment="1">
      <alignment horizontal="right"/>
    </xf>
    <xf numFmtId="0" fontId="11" fillId="8" borderId="24" xfId="0" applyFont="1" applyFill="1" applyBorder="1" applyAlignment="1">
      <alignment horizontal="center" wrapText="1"/>
    </xf>
    <xf numFmtId="0" fontId="9" fillId="0" borderId="14" xfId="0" applyFont="1" applyBorder="1" applyAlignment="1">
      <alignment horizontal="left"/>
    </xf>
    <xf numFmtId="165" fontId="10" fillId="0" borderId="0" xfId="1" applyNumberFormat="1" applyFont="1" applyFill="1" applyBorder="1" applyAlignment="1"/>
    <xf numFmtId="3" fontId="10" fillId="0" borderId="0" xfId="0" applyNumberFormat="1" applyFont="1" applyAlignment="1">
      <alignment vertical="center"/>
    </xf>
    <xf numFmtId="0" fontId="13" fillId="0" borderId="6" xfId="0" applyFont="1" applyBorder="1" applyAlignment="1">
      <alignment horizontal="center"/>
    </xf>
    <xf numFmtId="165" fontId="14" fillId="11" borderId="2" xfId="1" applyNumberFormat="1" applyFont="1" applyFill="1" applyBorder="1" applyAlignment="1">
      <alignment vertical="center"/>
    </xf>
    <xf numFmtId="3" fontId="15" fillId="0" borderId="6" xfId="0" applyNumberFormat="1" applyFont="1" applyBorder="1" applyAlignment="1">
      <alignment horizontal="right"/>
    </xf>
    <xf numFmtId="3" fontId="15" fillId="0" borderId="0" xfId="0" applyNumberFormat="1" applyFont="1" applyBorder="1" applyAlignment="1">
      <alignment horizontal="right"/>
    </xf>
    <xf numFmtId="165" fontId="14" fillId="11" borderId="0" xfId="1" applyNumberFormat="1" applyFont="1" applyFill="1" applyBorder="1" applyAlignment="1">
      <alignment vertical="center"/>
    </xf>
    <xf numFmtId="0" fontId="13" fillId="0" borderId="4" xfId="0" applyFont="1" applyBorder="1" applyAlignment="1">
      <alignment horizontal="center"/>
    </xf>
    <xf numFmtId="165" fontId="14" fillId="11" borderId="3" xfId="1" applyNumberFormat="1" applyFont="1" applyFill="1" applyBorder="1" applyAlignment="1">
      <alignment vertical="center"/>
    </xf>
    <xf numFmtId="3" fontId="15" fillId="0" borderId="4" xfId="0" applyNumberFormat="1" applyFont="1" applyBorder="1" applyAlignment="1">
      <alignment horizontal="right"/>
    </xf>
    <xf numFmtId="0" fontId="15" fillId="0" borderId="6" xfId="0" applyFont="1" applyBorder="1" applyAlignment="1">
      <alignment horizontal="center"/>
    </xf>
    <xf numFmtId="0" fontId="14" fillId="0" borderId="3" xfId="3" applyFont="1" applyFill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3" fontId="13" fillId="0" borderId="4" xfId="0" applyNumberFormat="1" applyFont="1" applyBorder="1" applyAlignment="1">
      <alignment horizontal="center"/>
    </xf>
    <xf numFmtId="3" fontId="15" fillId="0" borderId="6" xfId="0" applyNumberFormat="1" applyFont="1" applyBorder="1" applyAlignment="1">
      <alignment horizontal="center"/>
    </xf>
    <xf numFmtId="165" fontId="0" fillId="0" borderId="19" xfId="1" applyNumberFormat="1" applyFont="1" applyFill="1" applyBorder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165" fontId="17" fillId="12" borderId="3" xfId="0" applyNumberFormat="1" applyFont="1" applyFill="1" applyBorder="1" applyAlignment="1">
      <alignment horizontal="left"/>
    </xf>
    <xf numFmtId="165" fontId="17" fillId="12" borderId="0" xfId="0" applyNumberFormat="1" applyFont="1" applyFill="1" applyBorder="1" applyAlignment="1">
      <alignment horizontal="left"/>
    </xf>
    <xf numFmtId="165" fontId="10" fillId="0" borderId="0" xfId="0" applyNumberFormat="1" applyFont="1"/>
    <xf numFmtId="0" fontId="9" fillId="0" borderId="0" xfId="0" applyFont="1" applyAlignment="1">
      <alignment horizontal="left"/>
    </xf>
    <xf numFmtId="0" fontId="12" fillId="10" borderId="14" xfId="0" quotePrefix="1" applyFont="1" applyFill="1" applyBorder="1" applyAlignment="1">
      <alignment horizontal="left"/>
    </xf>
    <xf numFmtId="0" fontId="12" fillId="10" borderId="0" xfId="0" quotePrefix="1" applyFont="1" applyFill="1" applyAlignment="1">
      <alignment horizontal="left"/>
    </xf>
  </cellXfs>
  <cellStyles count="4">
    <cellStyle name="Normal" xfId="0" builtinId="0"/>
    <cellStyle name="Comma" xfId="1" builtinId="3"/>
    <cellStyle name="Percent" xfId="2" builtinId="5"/>
    <cellStyle name="20% - Accent3" xfId="3" builtinId="3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calcChain" Target="calcChain.xml" /><Relationship Id="rId10" Type="http://schemas.openxmlformats.org/officeDocument/2006/relationships/sharedStrings" Target="sharedStrings.xml" /><Relationship Id="rId11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threadedComments/threadedComment1.xml><?xml version="1.0" encoding="utf-8"?>
<ThreadedComments xmlns="http://schemas.microsoft.com/office/spreadsheetml/2018/threadedcomments">
  <threadedComment ref="P7" dT="2026-03-27T10:53:37.60" personId="{2D775E0F-25EB-4869-B64A-5FF516290769}" id="{2DF3315A-21F6-4465-8DD2-4F7B368BCDAD}">
    <text>Control_x000A_</text>
  </threadedComment>
  <threadedComment ref="P12" dT="2026-03-27T10:53:37.60" personId="{2D775E0F-25EB-4869-B64A-5FF516290769}" id="{30996A56-F3B7-47CD-856D-28D39738B1D7}">
    <text>Control_x000A_</text>
  </threadedComment>
  <threadedComment ref="P17" dT="2026-03-27T10:53:37.60" personId="{2D775E0F-25EB-4869-B64A-5FF516290769}" id="{914C6D32-E202-4ED0-9DF0-CA6D80882930}">
    <text>Control_x000A_</text>
  </threadedComment>
</ThreadedComments>
</file>

<file path=xl/threadedComments/threadedComment2.xml><?xml version="1.0" encoding="utf-8"?>
<ThreadedComments xmlns="http://schemas.microsoft.com/office/spreadsheetml/2018/threadedcomments">
  <threadedComment ref="P7" dT="2026-03-27T10:53:37.60" personId="{2D775E0F-25EB-4869-B64A-5FF516290769}" id="{CADE0C93-7C6B-4A65-9638-5BC952EBAF60}">
    <text>Control_x000A_</text>
  </threadedComment>
  <threadedComment ref="P12" dT="2026-03-27T10:53:37.60" personId="{2D775E0F-25EB-4869-B64A-5FF516290769}" id="{93627DF0-F0EC-4D87-801B-760854F3EFE9}">
    <text>Control_x000A_</text>
  </threadedComment>
</ThreadedComments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Relationship Id="rId3" Type="http://schemas.microsoft.com/office/2017/10/relationships/threadedComment" Target="../threadedComments/threadedComment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2.xml" /><Relationship Id="rId3" Type="http://schemas.microsoft.com/office/2017/10/relationships/threadedComment" Target="../threadedComments/threadedComment2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topLeftCell="A13">
      <selection activeCell="O17" sqref="O17"/>
    </sheetView>
  </sheetViews>
  <sheetFormatPr defaultRowHeight="14.25"/>
  <cols>
    <col min="2" max="2" width="18.875" bestFit="1" customWidth="1"/>
    <col min="3" max="3" width="13.875" customWidth="1"/>
  </cols>
  <sheetData>
    <row r="1" ht="27">
      <c r="G1" s="1" t="s">
        <v>0</v>
      </c>
    </row>
    <row r="2" ht="27">
      <c r="G2" s="1"/>
    </row>
    <row r="3" ht="15">
      <c r="C3" s="2" t="s">
        <v>1</v>
      </c>
      <c r="D3" s="3">
        <v>45748</v>
      </c>
      <c r="E3" s="3">
        <f>EOMONTH(D3,1)</f>
        <v>45808</v>
      </c>
      <c r="F3" s="3">
        <f t="shared" ref="F3:O3" si="0">EOMONTH(E3,1)</f>
        <v>45838</v>
      </c>
      <c r="G3" s="3">
        <f t="shared" si="0"/>
        <v>45869</v>
      </c>
      <c r="H3" s="3">
        <f t="shared" si="0"/>
        <v>45900</v>
      </c>
      <c r="I3" s="3">
        <f t="shared" si="0"/>
        <v>45930</v>
      </c>
      <c r="J3" s="3">
        <f t="shared" si="0"/>
        <v>45961</v>
      </c>
      <c r="K3" s="3">
        <f t="shared" si="0"/>
        <v>45991</v>
      </c>
      <c r="L3" s="3">
        <f t="shared" si="0"/>
        <v>46022</v>
      </c>
      <c r="M3" s="3">
        <f t="shared" si="0"/>
        <v>46053</v>
      </c>
      <c r="N3" s="3">
        <f t="shared" si="0"/>
        <v>46081</v>
      </c>
      <c r="O3" s="3">
        <f t="shared" si="0"/>
        <v>46112</v>
      </c>
      <c r="P3" s="3" t="s">
        <v>2</v>
      </c>
    </row>
    <row r="4" ht="15">
      <c r="B4" s="4" t="s">
        <v>3</v>
      </c>
      <c r="C4" s="5"/>
    </row>
    <row r="5" ht="15">
      <c r="B5" s="6" t="s">
        <v>4</v>
      </c>
      <c r="C5" s="7">
        <v>3177</v>
      </c>
      <c r="D5" s="8">
        <v>43</v>
      </c>
      <c r="E5" s="8">
        <v>92</v>
      </c>
      <c r="F5" s="8">
        <v>27</v>
      </c>
      <c r="G5" s="8">
        <v>110</v>
      </c>
      <c r="H5" s="8">
        <v>42</v>
      </c>
      <c r="I5" s="8">
        <v>30</v>
      </c>
      <c r="J5" s="8">
        <v>45</v>
      </c>
      <c r="K5" s="8">
        <v>90</v>
      </c>
      <c r="L5" s="8">
        <v>60</v>
      </c>
      <c r="M5" s="8">
        <v>61</v>
      </c>
      <c r="N5" s="8">
        <v>135</v>
      </c>
      <c r="O5" s="8">
        <v>111</v>
      </c>
      <c r="P5" s="8">
        <f>SUM(C5:O5)</f>
        <v>4023</v>
      </c>
    </row>
    <row r="6" ht="15">
      <c r="B6" s="6" t="s">
        <v>5</v>
      </c>
      <c r="C6" s="7">
        <v>63</v>
      </c>
      <c r="D6" s="8">
        <v>1</v>
      </c>
      <c r="E6" s="8">
        <v>2</v>
      </c>
      <c r="F6" s="8">
        <v>1</v>
      </c>
      <c r="G6" s="8">
        <v>3</v>
      </c>
      <c r="H6" s="8">
        <v>1</v>
      </c>
      <c r="I6" s="8">
        <v>1</v>
      </c>
      <c r="J6" s="8">
        <v>1</v>
      </c>
      <c r="K6" s="8">
        <v>2</v>
      </c>
      <c r="L6" s="8">
        <v>2</v>
      </c>
      <c r="M6" s="8">
        <v>1</v>
      </c>
      <c r="N6" s="8">
        <v>4</v>
      </c>
      <c r="O6" s="8">
        <v>3</v>
      </c>
      <c r="P6" s="8">
        <f>SUM(C6:O6)</f>
        <v>85</v>
      </c>
    </row>
    <row r="7" ht="15">
      <c r="B7" s="9" t="s">
        <v>6</v>
      </c>
      <c r="C7" s="10">
        <f>C6</f>
        <v>63</v>
      </c>
      <c r="D7" s="9">
        <f>D6+C6</f>
        <v>64</v>
      </c>
      <c r="E7" s="9">
        <f>D7+E6</f>
        <v>66</v>
      </c>
      <c r="F7" s="9">
        <f>E7+F6</f>
        <v>67</v>
      </c>
      <c r="G7" s="9">
        <f t="shared" ref="G7:O7" si="1">F7+G6</f>
        <v>70</v>
      </c>
      <c r="H7" s="9">
        <f t="shared" si="1"/>
        <v>71</v>
      </c>
      <c r="I7" s="9">
        <f t="shared" si="1"/>
        <v>72</v>
      </c>
      <c r="J7" s="9">
        <f t="shared" si="1"/>
        <v>73</v>
      </c>
      <c r="K7" s="9">
        <f t="shared" si="1"/>
        <v>75</v>
      </c>
      <c r="L7" s="9">
        <f t="shared" si="1"/>
        <v>77</v>
      </c>
      <c r="M7" s="9">
        <f t="shared" si="1"/>
        <v>78</v>
      </c>
      <c r="N7" s="9">
        <f t="shared" si="1"/>
        <v>82</v>
      </c>
      <c r="O7" s="9">
        <f t="shared" si="1"/>
        <v>85</v>
      </c>
      <c r="P7" s="11">
        <f>P6-O7</f>
        <v>0</v>
      </c>
    </row>
    <row r="8" ht="15">
      <c r="B8" s="9" t="s">
        <v>7</v>
      </c>
      <c r="C8" s="10">
        <f>C5</f>
        <v>3177</v>
      </c>
      <c r="D8">
        <f>C8+D5</f>
        <v>3220</v>
      </c>
      <c r="E8">
        <f t="shared" ref="E8:O8" si="2">D8+E5</f>
        <v>3312</v>
      </c>
      <c r="F8">
        <f t="shared" si="2"/>
        <v>3339</v>
      </c>
      <c r="G8">
        <f t="shared" si="2"/>
        <v>3449</v>
      </c>
      <c r="H8">
        <f t="shared" si="2"/>
        <v>3491</v>
      </c>
      <c r="I8">
        <f t="shared" si="2"/>
        <v>3521</v>
      </c>
      <c r="J8">
        <f t="shared" si="2"/>
        <v>3566</v>
      </c>
      <c r="K8">
        <f t="shared" si="2"/>
        <v>3656</v>
      </c>
      <c r="L8">
        <f t="shared" si="2"/>
        <v>3716</v>
      </c>
      <c r="M8">
        <f t="shared" si="2"/>
        <v>3777</v>
      </c>
      <c r="N8">
        <f t="shared" si="2"/>
        <v>3912</v>
      </c>
      <c r="O8">
        <f t="shared" si="2"/>
        <v>4023</v>
      </c>
      <c r="P8" s="11">
        <f>P5-O8</f>
        <v>0</v>
      </c>
    </row>
    <row r="9" ht="15">
      <c r="B9" s="12" t="s">
        <v>8</v>
      </c>
      <c r="C9" s="5"/>
      <c r="P9" s="8"/>
    </row>
    <row r="10" ht="15">
      <c r="B10" s="6" t="s">
        <v>4</v>
      </c>
      <c r="C10" s="7">
        <v>600</v>
      </c>
      <c r="D10" s="8">
        <v>100</v>
      </c>
      <c r="E10" s="8">
        <v>228</v>
      </c>
      <c r="F10" s="8">
        <v>170</v>
      </c>
      <c r="G10" s="8">
        <v>277</v>
      </c>
      <c r="H10" s="8">
        <v>52</v>
      </c>
      <c r="I10" s="8">
        <v>90</v>
      </c>
      <c r="J10" s="8">
        <v>119</v>
      </c>
      <c r="K10" s="8">
        <v>40</v>
      </c>
      <c r="L10" s="8">
        <v>338</v>
      </c>
      <c r="M10" s="8">
        <v>316</v>
      </c>
      <c r="N10" s="8">
        <v>51</v>
      </c>
      <c r="O10" s="8">
        <v>162</v>
      </c>
      <c r="P10" s="8">
        <f>SUM(C10:O10)</f>
        <v>2543</v>
      </c>
    </row>
    <row r="11" ht="15">
      <c r="B11" s="6" t="s">
        <v>5</v>
      </c>
      <c r="C11" s="7">
        <v>7</v>
      </c>
      <c r="D11" s="8">
        <v>1</v>
      </c>
      <c r="E11" s="8">
        <v>3</v>
      </c>
      <c r="F11" s="8">
        <v>2</v>
      </c>
      <c r="G11" s="8">
        <v>3</v>
      </c>
      <c r="H11" s="8">
        <v>1</v>
      </c>
      <c r="I11" s="8">
        <v>1</v>
      </c>
      <c r="J11" s="8">
        <v>2</v>
      </c>
      <c r="K11" s="8">
        <v>1</v>
      </c>
      <c r="L11" s="8">
        <v>3</v>
      </c>
      <c r="M11" s="8">
        <v>3</v>
      </c>
      <c r="N11" s="8">
        <v>1</v>
      </c>
      <c r="O11" s="8">
        <v>3</v>
      </c>
      <c r="P11" s="8">
        <f>SUM(C11:O11)</f>
        <v>31</v>
      </c>
    </row>
    <row r="12" ht="15">
      <c r="B12" s="9" t="s">
        <v>9</v>
      </c>
      <c r="C12" s="10">
        <f>C11</f>
        <v>7</v>
      </c>
      <c r="D12" s="9">
        <f>D11+C11</f>
        <v>8</v>
      </c>
      <c r="E12" s="9">
        <f>D12+E11</f>
        <v>11</v>
      </c>
      <c r="F12" s="9">
        <f>E12+F11</f>
        <v>13</v>
      </c>
      <c r="G12" s="9">
        <f t="shared" ref="G12" si="3">F12+G11</f>
        <v>16</v>
      </c>
      <c r="H12" s="9">
        <f t="shared" ref="H12" si="4">G12+H11</f>
        <v>17</v>
      </c>
      <c r="I12" s="9">
        <f t="shared" ref="I12" si="5">H12+I11</f>
        <v>18</v>
      </c>
      <c r="J12" s="9">
        <f t="shared" ref="J12" si="6">I12+J11</f>
        <v>20</v>
      </c>
      <c r="K12" s="9">
        <f t="shared" ref="K12" si="7">J12+K11</f>
        <v>21</v>
      </c>
      <c r="L12" s="9">
        <f t="shared" ref="L12" si="8">K12+L11</f>
        <v>24</v>
      </c>
      <c r="M12" s="9">
        <f t="shared" ref="M12" si="9">L12+M11</f>
        <v>27</v>
      </c>
      <c r="N12" s="9">
        <f t="shared" ref="N12" si="10">M12+N11</f>
        <v>28</v>
      </c>
      <c r="O12" s="9">
        <f t="shared" ref="O12" si="11">N12+O11</f>
        <v>31</v>
      </c>
      <c r="P12" s="11">
        <f>P11-O12</f>
        <v>0</v>
      </c>
    </row>
    <row r="13" ht="15">
      <c r="B13" s="9" t="s">
        <v>7</v>
      </c>
      <c r="C13" s="10">
        <f>C10</f>
        <v>600</v>
      </c>
      <c r="D13">
        <f>C13+D10</f>
        <v>700</v>
      </c>
      <c r="E13">
        <f t="shared" ref="E13:O13" si="12">D13+E10</f>
        <v>928</v>
      </c>
      <c r="F13">
        <f t="shared" si="12"/>
        <v>1098</v>
      </c>
      <c r="G13">
        <f t="shared" si="12"/>
        <v>1375</v>
      </c>
      <c r="H13">
        <f t="shared" si="12"/>
        <v>1427</v>
      </c>
      <c r="I13">
        <f t="shared" si="12"/>
        <v>1517</v>
      </c>
      <c r="J13">
        <f t="shared" si="12"/>
        <v>1636</v>
      </c>
      <c r="K13">
        <f t="shared" si="12"/>
        <v>1676</v>
      </c>
      <c r="L13">
        <f t="shared" si="12"/>
        <v>2014</v>
      </c>
      <c r="M13">
        <f t="shared" si="12"/>
        <v>2330</v>
      </c>
      <c r="N13">
        <f t="shared" si="12"/>
        <v>2381</v>
      </c>
      <c r="O13">
        <f t="shared" si="12"/>
        <v>2543</v>
      </c>
      <c r="P13" s="11">
        <f>P10-O13</f>
        <v>0</v>
      </c>
    </row>
    <row r="14" ht="15">
      <c r="B14" s="12" t="s">
        <v>10</v>
      </c>
      <c r="C14" s="5"/>
      <c r="P14" s="8">
        <f t="shared" ref="P14" si="13">SUM(D14:O14)</f>
        <v>0</v>
      </c>
    </row>
    <row r="15" ht="15">
      <c r="B15" s="6" t="s">
        <v>4</v>
      </c>
      <c r="C15" s="7">
        <v>42</v>
      </c>
      <c r="D15" s="8">
        <v>104</v>
      </c>
      <c r="E15" s="8">
        <v>90</v>
      </c>
      <c r="F15" s="8">
        <v>40</v>
      </c>
      <c r="G15" s="8">
        <v>58</v>
      </c>
      <c r="H15" s="8">
        <v>0</v>
      </c>
      <c r="I15" s="8">
        <v>68</v>
      </c>
      <c r="J15" s="8">
        <v>43</v>
      </c>
      <c r="K15" s="8">
        <v>61</v>
      </c>
      <c r="L15" s="8">
        <v>14</v>
      </c>
      <c r="M15" s="8">
        <v>135</v>
      </c>
      <c r="N15" s="8">
        <v>136</v>
      </c>
      <c r="O15" s="8">
        <v>196</v>
      </c>
      <c r="P15" s="8">
        <f>SUM(C15:O15)</f>
        <v>987</v>
      </c>
    </row>
    <row r="16" ht="15">
      <c r="B16" s="6" t="s">
        <v>5</v>
      </c>
      <c r="C16" s="7">
        <v>1</v>
      </c>
      <c r="D16" s="8">
        <v>3</v>
      </c>
      <c r="E16" s="8">
        <v>2</v>
      </c>
      <c r="F16" s="8">
        <v>1</v>
      </c>
      <c r="G16" s="8">
        <v>2</v>
      </c>
      <c r="H16" s="8">
        <v>0</v>
      </c>
      <c r="I16" s="8">
        <v>2</v>
      </c>
      <c r="J16" s="8">
        <v>2</v>
      </c>
      <c r="K16" s="8">
        <v>3</v>
      </c>
      <c r="L16" s="8">
        <v>1</v>
      </c>
      <c r="M16" s="8">
        <v>4</v>
      </c>
      <c r="N16" s="8">
        <v>7</v>
      </c>
      <c r="O16" s="8">
        <v>9</v>
      </c>
      <c r="P16" s="8">
        <f>SUM(C16:O16)</f>
        <v>37</v>
      </c>
    </row>
    <row r="17" ht="15">
      <c r="B17" s="9" t="s">
        <v>9</v>
      </c>
      <c r="C17" s="10">
        <f>C16</f>
        <v>1</v>
      </c>
      <c r="D17" s="9">
        <f>D16+C16</f>
        <v>4</v>
      </c>
      <c r="E17" s="9">
        <f>D17+E16</f>
        <v>6</v>
      </c>
      <c r="F17" s="9">
        <f>E17+F16</f>
        <v>7</v>
      </c>
      <c r="G17" s="9">
        <f t="shared" ref="G17" si="14">F17+G16</f>
        <v>9</v>
      </c>
      <c r="H17" s="9">
        <f t="shared" ref="H17" si="15">G17+H16</f>
        <v>9</v>
      </c>
      <c r="I17" s="9">
        <f t="shared" ref="I17" si="16">H17+I16</f>
        <v>11</v>
      </c>
      <c r="J17" s="9">
        <f t="shared" ref="J17" si="17">I17+J16</f>
        <v>13</v>
      </c>
      <c r="K17" s="9">
        <f t="shared" ref="K17" si="18">J17+K16</f>
        <v>16</v>
      </c>
      <c r="L17" s="9">
        <f t="shared" ref="L17" si="19">K17+L16</f>
        <v>17</v>
      </c>
      <c r="M17" s="9">
        <f t="shared" ref="M17" si="20">L17+M16</f>
        <v>21</v>
      </c>
      <c r="N17" s="9">
        <f t="shared" ref="N17" si="21">M17+N16</f>
        <v>28</v>
      </c>
      <c r="O17" s="9">
        <f t="shared" ref="O17" si="22">N17+O16</f>
        <v>37</v>
      </c>
      <c r="P17" s="11">
        <f>P16-O17</f>
        <v>0</v>
      </c>
    </row>
    <row r="18" ht="15">
      <c r="B18" s="9" t="s">
        <v>7</v>
      </c>
      <c r="C18" s="10">
        <f>C15</f>
        <v>42</v>
      </c>
      <c r="D18">
        <f>C18+D15</f>
        <v>146</v>
      </c>
      <c r="E18">
        <f t="shared" ref="E18:O18" si="23">D18+E15</f>
        <v>236</v>
      </c>
      <c r="F18">
        <f t="shared" si="23"/>
        <v>276</v>
      </c>
      <c r="G18">
        <f t="shared" si="23"/>
        <v>334</v>
      </c>
      <c r="H18">
        <f t="shared" si="23"/>
        <v>334</v>
      </c>
      <c r="I18">
        <f t="shared" si="23"/>
        <v>402</v>
      </c>
      <c r="J18">
        <f t="shared" si="23"/>
        <v>445</v>
      </c>
      <c r="K18">
        <f t="shared" si="23"/>
        <v>506</v>
      </c>
      <c r="L18">
        <f t="shared" si="23"/>
        <v>520</v>
      </c>
      <c r="M18">
        <f t="shared" si="23"/>
        <v>655</v>
      </c>
      <c r="N18">
        <f t="shared" si="23"/>
        <v>791</v>
      </c>
      <c r="O18">
        <f t="shared" si="23"/>
        <v>987</v>
      </c>
      <c r="P18" s="11">
        <f>P15-O18</f>
        <v>0</v>
      </c>
    </row>
    <row r="19">
      <c r="C19" s="10"/>
    </row>
    <row r="21" ht="14.5" customHeight="1">
      <c r="C21" s="13"/>
      <c r="D21" s="14" t="s">
        <v>11</v>
      </c>
      <c r="E21" s="14" t="s">
        <v>12</v>
      </c>
      <c r="F21" s="14" t="s">
        <v>13</v>
      </c>
      <c r="G21" s="14" t="s">
        <v>14</v>
      </c>
      <c r="H21" s="14" t="s">
        <v>2</v>
      </c>
    </row>
    <row r="22" ht="15.75">
      <c r="C22" s="15" t="s">
        <v>15</v>
      </c>
      <c r="D22" s="15"/>
      <c r="E22" s="15"/>
      <c r="F22" s="15"/>
      <c r="G22" s="15"/>
      <c r="H22" s="15"/>
    </row>
    <row r="23" ht="15.75">
      <c r="C23" s="16" t="s">
        <v>16</v>
      </c>
      <c r="D23" s="17">
        <v>5</v>
      </c>
      <c r="E23" s="17">
        <v>0</v>
      </c>
      <c r="F23" s="17">
        <v>4</v>
      </c>
      <c r="G23" s="17">
        <v>0</v>
      </c>
      <c r="H23" s="17">
        <f>SUM(D23:G23)</f>
        <v>9</v>
      </c>
    </row>
    <row r="24" ht="15.75">
      <c r="C24" s="16" t="s">
        <v>17</v>
      </c>
      <c r="D24" s="17">
        <v>0</v>
      </c>
      <c r="E24" s="17">
        <v>2</v>
      </c>
      <c r="F24" s="17">
        <v>1</v>
      </c>
      <c r="G24" s="17">
        <v>0</v>
      </c>
      <c r="H24" s="17">
        <f t="shared" ref="H24:H25" si="24">SUM(D24:G24)</f>
        <v>3</v>
      </c>
    </row>
    <row r="25" ht="15.75">
      <c r="C25" s="16" t="s">
        <v>18</v>
      </c>
      <c r="D25" s="17">
        <v>0</v>
      </c>
      <c r="E25" s="17">
        <v>1</v>
      </c>
      <c r="F25" s="17">
        <v>1</v>
      </c>
      <c r="G25" s="17">
        <v>1</v>
      </c>
      <c r="H25" s="17">
        <f t="shared" si="24"/>
        <v>3</v>
      </c>
    </row>
    <row r="27">
      <c r="G27" t="s">
        <v>2</v>
      </c>
      <c r="H27">
        <f>SUM(H23:H26)</f>
        <v>15</v>
      </c>
    </row>
  </sheetData>
  <mergeCells count="5">
    <mergeCell ref="D21:D22"/>
    <mergeCell ref="E21:E22"/>
    <mergeCell ref="F21:F22"/>
    <mergeCell ref="G21:G22"/>
    <mergeCell ref="H21:H22"/>
  </mergeCells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 topLeftCell="A12">
      <selection activeCell="I31" sqref="I31:I36"/>
    </sheetView>
  </sheetViews>
  <sheetFormatPr defaultRowHeight="14.25"/>
  <cols>
    <col min="2" max="2" width="13.875" bestFit="1" customWidth="1"/>
    <col min="3" max="3" width="13.875" customWidth="1"/>
  </cols>
  <sheetData>
    <row r="1" ht="28.5">
      <c r="I1" s="1" t="s">
        <v>19</v>
      </c>
    </row>
    <row r="3" ht="14.5">
      <c r="C3" s="3" t="s">
        <v>20</v>
      </c>
      <c r="D3" s="3">
        <v>45748</v>
      </c>
      <c r="E3" s="3">
        <f>EOMONTH(D3,1)</f>
        <v>45808</v>
      </c>
      <c r="F3" s="3">
        <f t="shared" ref="F3:O3" si="0">EOMONTH(E3,1)</f>
        <v>45838</v>
      </c>
      <c r="G3" s="3">
        <f t="shared" si="0"/>
        <v>45869</v>
      </c>
      <c r="H3" s="3">
        <f t="shared" si="0"/>
        <v>45900</v>
      </c>
      <c r="I3" s="3">
        <f t="shared" si="0"/>
        <v>45930</v>
      </c>
      <c r="J3" s="3">
        <f t="shared" si="0"/>
        <v>45961</v>
      </c>
      <c r="K3" s="3">
        <f t="shared" si="0"/>
        <v>45991</v>
      </c>
      <c r="L3" s="3">
        <f t="shared" si="0"/>
        <v>46022</v>
      </c>
      <c r="M3" s="3">
        <f t="shared" si="0"/>
        <v>46053</v>
      </c>
      <c r="N3" s="3">
        <f t="shared" si="0"/>
        <v>46081</v>
      </c>
      <c r="O3" s="3">
        <f t="shared" si="0"/>
        <v>46112</v>
      </c>
      <c r="P3" s="3" t="s">
        <v>2</v>
      </c>
    </row>
    <row r="4" ht="14.5">
      <c r="B4" s="4" t="s">
        <v>3</v>
      </c>
      <c r="C4" s="18"/>
    </row>
    <row r="5" ht="14.5">
      <c r="B5" s="6" t="s">
        <v>4</v>
      </c>
      <c r="C5" s="8">
        <v>1232</v>
      </c>
      <c r="D5" s="8">
        <v>0</v>
      </c>
      <c r="E5" s="8">
        <v>0</v>
      </c>
      <c r="F5" s="8">
        <v>90</v>
      </c>
      <c r="G5" s="8">
        <v>0</v>
      </c>
      <c r="H5" s="8">
        <v>0</v>
      </c>
      <c r="I5" s="8">
        <v>86</v>
      </c>
      <c r="J5" s="8">
        <v>0</v>
      </c>
      <c r="K5" s="8">
        <v>73</v>
      </c>
      <c r="L5" s="8">
        <v>40</v>
      </c>
      <c r="M5" s="8">
        <v>123</v>
      </c>
      <c r="N5" s="8">
        <v>56</v>
      </c>
      <c r="O5" s="8">
        <v>43</v>
      </c>
      <c r="P5" s="8">
        <f>SUM(C5:O5)</f>
        <v>1743</v>
      </c>
    </row>
    <row r="6" ht="14.5">
      <c r="B6" s="6" t="s">
        <v>5</v>
      </c>
      <c r="C6" s="6">
        <v>32</v>
      </c>
      <c r="D6" s="8">
        <v>0</v>
      </c>
      <c r="E6" s="8">
        <v>0</v>
      </c>
      <c r="F6" s="8">
        <v>2</v>
      </c>
      <c r="G6" s="8">
        <v>0</v>
      </c>
      <c r="H6" s="8">
        <v>0</v>
      </c>
      <c r="I6" s="8">
        <v>1</v>
      </c>
      <c r="J6" s="8">
        <v>0</v>
      </c>
      <c r="K6" s="8">
        <v>1</v>
      </c>
      <c r="L6" s="8">
        <v>1</v>
      </c>
      <c r="M6" s="8">
        <v>3</v>
      </c>
      <c r="N6" s="8">
        <v>1</v>
      </c>
      <c r="O6" s="8">
        <v>1</v>
      </c>
      <c r="P6" s="8">
        <f>SUM(C6:O6)</f>
        <v>42</v>
      </c>
    </row>
    <row r="7" ht="14.5">
      <c r="B7" s="9" t="s">
        <v>7</v>
      </c>
      <c r="C7" s="9">
        <f>C5</f>
        <v>1232</v>
      </c>
      <c r="D7" s="9">
        <f>C7+D5</f>
        <v>1232</v>
      </c>
      <c r="E7" s="9">
        <f>D7+E5</f>
        <v>1232</v>
      </c>
      <c r="F7" s="9">
        <f t="shared" ref="F7:O7" si="1">E7+F5</f>
        <v>1322</v>
      </c>
      <c r="G7" s="9">
        <f t="shared" si="1"/>
        <v>1322</v>
      </c>
      <c r="H7" s="9">
        <f t="shared" si="1"/>
        <v>1322</v>
      </c>
      <c r="I7" s="9">
        <f t="shared" si="1"/>
        <v>1408</v>
      </c>
      <c r="J7" s="9">
        <f t="shared" si="1"/>
        <v>1408</v>
      </c>
      <c r="K7" s="9">
        <f t="shared" si="1"/>
        <v>1481</v>
      </c>
      <c r="L7" s="9">
        <f t="shared" si="1"/>
        <v>1521</v>
      </c>
      <c r="M7" s="9">
        <f t="shared" si="1"/>
        <v>1644</v>
      </c>
      <c r="N7" s="9">
        <f t="shared" si="1"/>
        <v>1700</v>
      </c>
      <c r="O7" s="9">
        <f t="shared" si="1"/>
        <v>1743</v>
      </c>
      <c r="P7" s="11">
        <f>P5-O7</f>
        <v>0</v>
      </c>
    </row>
    <row r="8" ht="14.5">
      <c r="B8" s="9" t="s">
        <v>6</v>
      </c>
      <c r="C8">
        <f>C6</f>
        <v>32</v>
      </c>
      <c r="D8">
        <f>D6+C8</f>
        <v>32</v>
      </c>
      <c r="E8">
        <f t="shared" ref="E8:O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41</v>
      </c>
      <c r="O8">
        <f t="shared" si="2"/>
        <v>42</v>
      </c>
      <c r="P8" s="8">
        <f>P6-O8</f>
        <v>0</v>
      </c>
    </row>
    <row r="9" ht="14.5">
      <c r="B9" s="12" t="s">
        <v>16</v>
      </c>
      <c r="C9" s="18"/>
      <c r="P9" s="8"/>
    </row>
    <row r="10" ht="14.5">
      <c r="B10" s="6" t="s">
        <v>4</v>
      </c>
      <c r="C10" s="6">
        <v>32</v>
      </c>
      <c r="D10" s="8">
        <v>0</v>
      </c>
      <c r="E10" s="8">
        <v>73</v>
      </c>
      <c r="F10" s="8">
        <v>26</v>
      </c>
      <c r="G10" s="8">
        <v>112</v>
      </c>
      <c r="H10" s="8">
        <v>30</v>
      </c>
      <c r="I10" s="8">
        <v>28</v>
      </c>
      <c r="J10" s="8">
        <v>51</v>
      </c>
      <c r="K10" s="8">
        <v>78</v>
      </c>
      <c r="L10" s="8">
        <v>20</v>
      </c>
      <c r="M10" s="8">
        <v>60</v>
      </c>
      <c r="N10" s="8">
        <v>0</v>
      </c>
      <c r="O10" s="8">
        <v>143</v>
      </c>
      <c r="P10" s="8">
        <f>SUM(C10:O10)</f>
        <v>653</v>
      </c>
    </row>
    <row r="11" ht="14.5">
      <c r="B11" s="6" t="s">
        <v>5</v>
      </c>
      <c r="C11" s="6">
        <v>1</v>
      </c>
      <c r="D11" s="8">
        <v>0</v>
      </c>
      <c r="E11" s="8">
        <v>2</v>
      </c>
      <c r="F11" s="8">
        <v>1</v>
      </c>
      <c r="G11" s="8">
        <v>2</v>
      </c>
      <c r="H11" s="8">
        <v>1</v>
      </c>
      <c r="I11" s="8">
        <v>1</v>
      </c>
      <c r="J11" s="8">
        <v>2</v>
      </c>
      <c r="K11" s="8">
        <v>3</v>
      </c>
      <c r="L11" s="8">
        <v>1</v>
      </c>
      <c r="M11" s="8">
        <v>2</v>
      </c>
      <c r="N11" s="8">
        <v>0</v>
      </c>
      <c r="O11" s="8">
        <v>5</v>
      </c>
      <c r="P11" s="8">
        <f>SUM(C11:O11)</f>
        <v>21</v>
      </c>
    </row>
    <row r="12" ht="14.5">
      <c r="B12" s="9" t="s">
        <v>21</v>
      </c>
      <c r="C12" s="9">
        <f>C10</f>
        <v>32</v>
      </c>
      <c r="D12" s="9">
        <f>C12+D10</f>
        <v>32</v>
      </c>
      <c r="E12" s="9">
        <f>D12+E10</f>
        <v>105</v>
      </c>
      <c r="F12" s="9">
        <f t="shared" ref="F12:O12" si="3">E12+F10</f>
        <v>131</v>
      </c>
      <c r="G12" s="9">
        <f t="shared" si="3"/>
        <v>243</v>
      </c>
      <c r="H12" s="9">
        <f t="shared" si="3"/>
        <v>273</v>
      </c>
      <c r="I12" s="9">
        <f t="shared" si="3"/>
        <v>301</v>
      </c>
      <c r="J12" s="9">
        <f t="shared" si="3"/>
        <v>352</v>
      </c>
      <c r="K12" s="9">
        <f t="shared" si="3"/>
        <v>430</v>
      </c>
      <c r="L12" s="9">
        <f t="shared" si="3"/>
        <v>450</v>
      </c>
      <c r="M12" s="9">
        <f t="shared" si="3"/>
        <v>510</v>
      </c>
      <c r="N12" s="9">
        <f t="shared" si="3"/>
        <v>510</v>
      </c>
      <c r="O12" s="9">
        <f t="shared" si="3"/>
        <v>653</v>
      </c>
      <c r="P12" s="11">
        <f>P10-O12</f>
        <v>0</v>
      </c>
    </row>
    <row r="13" ht="14.5">
      <c r="B13" s="9" t="s">
        <v>6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 s="8">
        <f>P11-O13</f>
        <v>0</v>
      </c>
    </row>
    <row r="14" thickBot="1" ht="15"/>
    <row r="15" ht="14.5">
      <c r="B15" s="19"/>
      <c r="C15" s="20" t="s">
        <v>11</v>
      </c>
      <c r="D15" s="20" t="s">
        <v>12</v>
      </c>
      <c r="E15" s="20" t="s">
        <v>13</v>
      </c>
      <c r="F15" s="20" t="s">
        <v>14</v>
      </c>
      <c r="G15" s="21" t="s">
        <v>2</v>
      </c>
    </row>
    <row r="16" ht="15.5">
      <c r="B16" s="22" t="s">
        <v>15</v>
      </c>
      <c r="C16" s="15"/>
      <c r="D16" s="15"/>
      <c r="E16" s="15"/>
      <c r="F16" s="15"/>
      <c r="G16" s="23"/>
    </row>
    <row r="17" ht="15.5">
      <c r="B17" s="24" t="s">
        <v>16</v>
      </c>
      <c r="G17" s="25"/>
    </row>
    <row r="18" ht="16">
      <c r="B18" s="26" t="s">
        <v>22</v>
      </c>
      <c r="C18" s="17">
        <v>3</v>
      </c>
      <c r="D18" s="17">
        <v>0</v>
      </c>
      <c r="E18" s="17">
        <v>0</v>
      </c>
      <c r="F18" s="17">
        <v>2</v>
      </c>
      <c r="G18" s="27">
        <f>SUM(C17:F17)</f>
        <v>0</v>
      </c>
    </row>
    <row r="19" ht="14.5">
      <c r="B19" s="26" t="s">
        <v>23</v>
      </c>
      <c r="C19">
        <v>100</v>
      </c>
      <c r="D19">
        <v>0</v>
      </c>
      <c r="F19">
        <v>43</v>
      </c>
      <c r="G19" s="25">
        <f>SUM(C19:F19)</f>
        <v>143</v>
      </c>
    </row>
    <row r="20" ht="15.5">
      <c r="B20" s="24" t="s">
        <v>17</v>
      </c>
      <c r="G20" s="25"/>
    </row>
    <row r="21" ht="16">
      <c r="B21" s="26" t="s">
        <v>22</v>
      </c>
      <c r="C21" s="17">
        <v>0</v>
      </c>
      <c r="D21" s="17" t="s">
        <v>24</v>
      </c>
      <c r="E21" s="17">
        <v>0</v>
      </c>
      <c r="F21" s="17">
        <v>0</v>
      </c>
      <c r="G21" s="27">
        <f>SUM(C18:F18)</f>
        <v>5</v>
      </c>
    </row>
    <row r="22" ht="14.5">
      <c r="B22" s="26" t="s">
        <v>23</v>
      </c>
      <c r="D22">
        <v>55</v>
      </c>
      <c r="G22" s="25">
        <f>SUM(C22:F22)</f>
        <v>55</v>
      </c>
    </row>
    <row r="23" ht="14.5">
      <c r="B23" s="28"/>
      <c r="G23" s="25"/>
    </row>
    <row r="24" ht="15.5">
      <c r="B24" s="24" t="s">
        <v>2</v>
      </c>
      <c r="G24" s="25"/>
    </row>
    <row r="25" ht="14.5">
      <c r="B25" s="26" t="s">
        <v>22</v>
      </c>
      <c r="C25">
        <f>C18+C21</f>
        <v>3</v>
      </c>
      <c r="D25">
        <v>1</v>
      </c>
      <c r="E25">
        <f t="shared" ref="E25:F25" si="5">E18+E21</f>
        <v>0</v>
      </c>
      <c r="F25">
        <f t="shared" si="5"/>
        <v>2</v>
      </c>
      <c r="G25" s="25">
        <f>SUM(C25:F25)</f>
        <v>6</v>
      </c>
    </row>
    <row r="26" thickBot="1" ht="15">
      <c r="B26" s="29" t="s">
        <v>23</v>
      </c>
      <c r="C26" s="30">
        <f>C19+C22</f>
        <v>100</v>
      </c>
      <c r="D26" s="30">
        <f t="shared" ref="D26:F26" si="6">D19+D22</f>
        <v>55</v>
      </c>
      <c r="E26" s="30">
        <f t="shared" si="6"/>
        <v>0</v>
      </c>
      <c r="F26" s="30">
        <f t="shared" si="6"/>
        <v>43</v>
      </c>
      <c r="G26" s="31">
        <f>SUM(C26:F26)</f>
        <v>198</v>
      </c>
    </row>
    <row r="28" thickBot="1" ht="15"/>
    <row r="29" ht="14.5">
      <c r="D29" t="s">
        <v>25</v>
      </c>
      <c r="H29" t="s">
        <v>26</v>
      </c>
      <c r="I29" t="s">
        <v>27</v>
      </c>
    </row>
    <row r="30" ht="14.5">
      <c r="D30" s="32" t="s">
        <v>28</v>
      </c>
    </row>
    <row r="31" ht="14.5">
      <c r="D31" s="33" t="s">
        <v>29</v>
      </c>
      <c r="H31" s="34">
        <v>105</v>
      </c>
      <c r="I31" t="s">
        <v>30</v>
      </c>
    </row>
    <row r="32" ht="14.5">
      <c r="D32" s="33" t="s">
        <v>31</v>
      </c>
      <c r="H32" s="35">
        <v>35</v>
      </c>
      <c r="I32" t="s">
        <v>30</v>
      </c>
    </row>
    <row r="33" ht="14.5">
      <c r="D33" s="33" t="s">
        <v>32</v>
      </c>
      <c r="H33" s="35">
        <v>30</v>
      </c>
      <c r="I33" t="s">
        <v>30</v>
      </c>
    </row>
    <row r="34" ht="14.5">
      <c r="D34" s="33" t="s">
        <v>33</v>
      </c>
      <c r="H34" s="35">
        <v>39</v>
      </c>
      <c r="I34" t="s">
        <v>30</v>
      </c>
    </row>
    <row r="35" ht="14.5">
      <c r="D35" s="33" t="s">
        <v>34</v>
      </c>
      <c r="H35" s="35">
        <v>56</v>
      </c>
      <c r="I35" t="s">
        <v>30</v>
      </c>
    </row>
    <row r="36" ht="14.5">
      <c r="D36" s="33" t="s">
        <v>35</v>
      </c>
      <c r="H36" s="35">
        <v>36</v>
      </c>
      <c r="I36" t="s">
        <v>30</v>
      </c>
    </row>
    <row r="37" thickBot="1" ht="15"/>
  </sheetData>
  <mergeCells count="5">
    <mergeCell ref="C15:C16"/>
    <mergeCell ref="D15:D16"/>
    <mergeCell ref="E15:E16"/>
    <mergeCell ref="F15:F16"/>
    <mergeCell ref="G15:G16"/>
  </mergeCells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24" sqref="C24"/>
    </sheetView>
  </sheetViews>
  <sheetFormatPr defaultRowHeight="14.25"/>
  <cols>
    <col min="3" max="3" width="13.875" style="36" bestFit="1" customWidth="1"/>
    <col min="5" max="5" width="2.125" customWidth="1"/>
    <col min="6" max="6" width="11.125" bestFit="1" customWidth="1"/>
    <col min="12" max="12" width="11.125" bestFit="1" customWidth="1"/>
  </cols>
  <sheetData>
    <row r="1" ht="14.5">
      <c r="C1" s="37" t="s">
        <v>36</v>
      </c>
      <c r="D1" s="37"/>
      <c r="E1" s="37"/>
      <c r="F1" s="37"/>
    </row>
    <row r="3" ht="14.5">
      <c r="C3" s="36" t="s">
        <v>37</v>
      </c>
      <c r="F3" s="38" t="s">
        <v>38</v>
      </c>
      <c r="I3" t="s">
        <v>39</v>
      </c>
    </row>
    <row r="4" ht="14.5">
      <c r="F4" s="38"/>
      <c r="I4" t="s">
        <v>40</v>
      </c>
      <c r="J4" s="39">
        <f>F8/C8</f>
        <v>0.84571346989379048</v>
      </c>
    </row>
    <row r="5" ht="14.5">
      <c r="B5" t="s">
        <v>41</v>
      </c>
      <c r="C5" s="40">
        <v>51497306.97523421</v>
      </c>
      <c r="D5" s="39">
        <f>C5/$C$8</f>
        <v>0.78619149863179749</v>
      </c>
      <c r="E5" s="39"/>
      <c r="F5" s="36">
        <v>33921673.700000003</v>
      </c>
      <c r="G5" s="39">
        <f>F5/F8</f>
        <v>0.61234735940161389</v>
      </c>
      <c r="I5" t="s">
        <v>41</v>
      </c>
      <c r="J5" s="39">
        <f>F5/C5</f>
        <v>0.65870772070301498</v>
      </c>
    </row>
    <row r="6" ht="14.5">
      <c r="B6" t="s">
        <v>42</v>
      </c>
      <c r="C6" s="36">
        <v>14004936.517419355</v>
      </c>
      <c r="D6" s="39">
        <f>C6/$C$8</f>
        <v>0.21380850136820254</v>
      </c>
      <c r="E6" s="39"/>
      <c r="F6" s="36">
        <v>21474455.93</v>
      </c>
      <c r="G6" s="39">
        <f>F6/F8</f>
        <v>0.38765264059838611</v>
      </c>
      <c r="I6" t="s">
        <v>42</v>
      </c>
      <c r="J6" s="39">
        <f>F6/C6</f>
        <v>1.5333490375547256</v>
      </c>
    </row>
    <row r="8" ht="14.5">
      <c r="B8" t="s">
        <v>2</v>
      </c>
      <c r="C8" s="36">
        <f>SUM(C5:C7)</f>
        <v>65502243.492653564</v>
      </c>
      <c r="F8" s="41">
        <f>SUM(F5:F7)</f>
        <v>55396129.630000003</v>
      </c>
    </row>
    <row r="10" ht="14.5">
      <c r="C10" s="37" t="s">
        <v>36</v>
      </c>
      <c r="D10" s="37"/>
      <c r="E10" s="37"/>
      <c r="F10" s="37"/>
    </row>
    <row r="12" ht="14.5">
      <c r="C12" s="42" t="s">
        <v>43</v>
      </c>
      <c r="F12" s="43" t="s">
        <v>44</v>
      </c>
      <c r="I12" t="s">
        <v>45</v>
      </c>
    </row>
    <row r="13" ht="14.5">
      <c r="F13" s="38"/>
      <c r="I13" t="s">
        <v>40</v>
      </c>
      <c r="J13" s="39">
        <f>F17/C17-1</f>
        <v>0.46280675524036452</v>
      </c>
      <c r="L13" s="41"/>
    </row>
    <row r="14" ht="14.5">
      <c r="B14" t="s">
        <v>41</v>
      </c>
      <c r="C14" s="36">
        <v>24298481.149999999</v>
      </c>
      <c r="D14" s="39">
        <f>C14/C17</f>
        <v>0.64163295532927755</v>
      </c>
      <c r="E14" s="39"/>
      <c r="F14" s="36">
        <v>33921673.700000003</v>
      </c>
      <c r="G14" s="39">
        <f>F14/F17</f>
        <v>0.61234735940161389</v>
      </c>
      <c r="I14" t="s">
        <v>41</v>
      </c>
      <c r="J14" s="39">
        <f>F14/C14-1</f>
        <v>0.39604090850756757</v>
      </c>
    </row>
    <row r="15" ht="14.5">
      <c r="B15" t="s">
        <v>42</v>
      </c>
      <c r="C15" s="36">
        <v>13571271.25</v>
      </c>
      <c r="D15" s="39">
        <f>C15/C17</f>
        <v>0.3583670446707225</v>
      </c>
      <c r="E15" s="39"/>
      <c r="F15" s="36">
        <v>21474455.93</v>
      </c>
      <c r="G15" s="39">
        <f>F15/F17</f>
        <v>0.38765264059838611</v>
      </c>
      <c r="I15" t="s">
        <v>42</v>
      </c>
      <c r="J15" s="39">
        <f>F15/C15-1</f>
        <v>0.58234667441342314</v>
      </c>
    </row>
    <row r="17" ht="14.5">
      <c r="B17" t="s">
        <v>2</v>
      </c>
      <c r="C17" s="36">
        <f>SUM(C14:C16)</f>
        <v>37869752.399999999</v>
      </c>
      <c r="F17" s="41">
        <f>SUM(F14:F16)</f>
        <v>55396129.630000003</v>
      </c>
    </row>
    <row r="19" ht="14.5">
      <c r="C19" s="37" t="s">
        <v>46</v>
      </c>
      <c r="D19" s="37"/>
      <c r="E19" s="37"/>
      <c r="F19" s="37"/>
    </row>
    <row r="21" ht="14.5">
      <c r="C21" s="42" t="s">
        <v>43</v>
      </c>
      <c r="F21" s="43" t="s">
        <v>44</v>
      </c>
      <c r="I21" t="s">
        <v>45</v>
      </c>
    </row>
    <row r="22" ht="14.5">
      <c r="F22" s="38"/>
      <c r="I22" t="s">
        <v>40</v>
      </c>
      <c r="J22" s="39">
        <f>F26/C26-1</f>
        <v>0.13903182952946902</v>
      </c>
    </row>
    <row r="23" ht="14.5">
      <c r="B23" t="s">
        <v>41</v>
      </c>
      <c r="C23" s="36">
        <v>24298481.149999999</v>
      </c>
      <c r="D23" s="39">
        <f>C23/C26</f>
        <v>0.64163295532927755</v>
      </c>
      <c r="E23" s="39"/>
      <c r="F23" s="36">
        <v>27361766.870000001</v>
      </c>
      <c r="G23" s="39">
        <f>F23/F26</f>
        <v>0.63433081924820534</v>
      </c>
      <c r="I23" t="s">
        <v>41</v>
      </c>
      <c r="J23" s="39">
        <f>F23/C23-1</f>
        <v>0.12606902057332925</v>
      </c>
    </row>
    <row r="24" ht="14.5">
      <c r="B24" t="s">
        <v>42</v>
      </c>
      <c r="C24" s="36">
        <v>13571271.25</v>
      </c>
      <c r="D24" s="39">
        <f>C24/C26</f>
        <v>0.3583670446707225</v>
      </c>
      <c r="E24" s="39"/>
      <c r="F24" s="36">
        <v>15773086.49</v>
      </c>
      <c r="G24" s="39">
        <f>F24/F26</f>
        <v>0.36566918075179472</v>
      </c>
      <c r="I24" t="s">
        <v>42</v>
      </c>
      <c r="J24" s="39">
        <f>F24/C24-1</f>
        <v>0.16224089839778277</v>
      </c>
    </row>
    <row r="26" ht="14.5">
      <c r="B26" t="s">
        <v>2</v>
      </c>
      <c r="C26" s="36">
        <f>SUM(C23:C25)</f>
        <v>37869752.399999999</v>
      </c>
      <c r="F26" s="41">
        <f>SUM(F23:F25)</f>
        <v>43134853.359999999</v>
      </c>
      <c r="I26" s="39"/>
    </row>
  </sheetData>
  <mergeCells count="3">
    <mergeCell ref="C1:F1"/>
    <mergeCell ref="C10:F10"/>
    <mergeCell ref="C19:F19"/>
  </mergeCell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20" sqref="H20"/>
    </sheetView>
  </sheetViews>
  <sheetFormatPr defaultRowHeight="14.25"/>
  <cols>
    <col min="2" max="2" width="21.125" bestFit="1" customWidth="1"/>
    <col min="3" max="3" width="11.125" bestFit="1" customWidth="1"/>
    <col min="4" max="4" width="10.5" bestFit="1" customWidth="1"/>
    <col min="5" max="5" width="11.125" bestFit="1" customWidth="1"/>
    <col min="6" max="7" width="8.75" style="44"/>
    <col min="8" max="8" width="9.875" style="44" bestFit="1" customWidth="1"/>
    <col min="9" max="17" width="8.75" style="44"/>
  </cols>
  <sheetData>
    <row r="3" thickBot="1" ht="21">
      <c r="B3" s="45" t="s">
        <v>47</v>
      </c>
      <c r="C3" s="46"/>
      <c r="D3" s="47"/>
      <c r="E3" s="47"/>
    </row>
    <row r="4" thickBot="1" ht="19.5">
      <c r="B4" s="48"/>
      <c r="C4" s="49" t="s">
        <v>48</v>
      </c>
      <c r="D4" s="50"/>
      <c r="E4" s="50"/>
    </row>
    <row r="5" thickBot="1" ht="15.75">
      <c r="B5" s="51"/>
      <c r="C5" s="52"/>
      <c r="D5" s="53"/>
      <c r="E5" s="53"/>
    </row>
    <row r="6" thickBot="1" ht="15">
      <c r="C6" s="54" t="s">
        <v>37</v>
      </c>
      <c r="D6" s="55" t="s">
        <v>49</v>
      </c>
      <c r="E6" s="55"/>
      <c r="F6" s="55"/>
      <c r="G6" s="55"/>
      <c r="H6" s="54" t="s">
        <v>50</v>
      </c>
    </row>
    <row r="7" thickBot="1" ht="16.5">
      <c r="B7" s="56" t="s">
        <v>51</v>
      </c>
      <c r="C7" s="57"/>
      <c r="D7" s="58" t="s">
        <v>52</v>
      </c>
      <c r="E7" s="58" t="s">
        <v>53</v>
      </c>
      <c r="F7" s="58" t="s">
        <v>54</v>
      </c>
      <c r="G7" s="58" t="s">
        <v>55</v>
      </c>
    </row>
    <row r="8" ht="15">
      <c r="B8" s="59" t="s">
        <v>56</v>
      </c>
      <c r="C8" s="57">
        <v>14750000</v>
      </c>
      <c r="D8" s="60">
        <f>Inflow!E30</f>
        <v>5289400</v>
      </c>
      <c r="E8" s="60"/>
      <c r="H8" s="61">
        <f>C8-D8</f>
        <v>9460600</v>
      </c>
    </row>
    <row r="9" ht="15">
      <c r="B9" s="59" t="s">
        <v>57</v>
      </c>
      <c r="C9" s="57">
        <v>12300000</v>
      </c>
      <c r="D9" s="57">
        <f>Inflow!E33</f>
        <v>9610651</v>
      </c>
      <c r="E9" s="57"/>
      <c r="H9" s="61">
        <f t="shared" ref="H9:H10" si="0">C9-D9</f>
        <v>2689349</v>
      </c>
    </row>
    <row r="10" ht="15">
      <c r="B10" s="59" t="s">
        <v>58</v>
      </c>
      <c r="C10" s="57">
        <f>Inflow!C35</f>
        <v>500000</v>
      </c>
      <c r="D10" s="57">
        <f>Inflow!E35</f>
        <v>435283</v>
      </c>
      <c r="E10" s="57"/>
      <c r="H10" s="61">
        <f t="shared" si="0"/>
        <v>64717</v>
      </c>
    </row>
    <row r="11" ht="15">
      <c r="B11" s="59" t="s">
        <v>59</v>
      </c>
      <c r="C11" s="62">
        <f t="shared" ref="C11:H11" si="1">SUM(C8:C10)</f>
        <v>27550000</v>
      </c>
      <c r="D11" s="62">
        <f t="shared" si="1"/>
        <v>15335334</v>
      </c>
      <c r="E11" s="62">
        <f t="shared" si="1"/>
        <v>0</v>
      </c>
      <c r="F11" s="62">
        <f t="shared" si="1"/>
        <v>0</v>
      </c>
      <c r="G11" s="62">
        <f t="shared" si="1"/>
        <v>0</v>
      </c>
      <c r="H11" s="62">
        <f t="shared" si="1"/>
        <v>12214666</v>
      </c>
    </row>
    <row r="12" thickBot="1" ht="16.5">
      <c r="B12" s="56" t="s">
        <v>60</v>
      </c>
      <c r="C12" s="57"/>
      <c r="D12" s="58"/>
      <c r="E12" s="58"/>
    </row>
    <row r="13" ht="15">
      <c r="B13" s="59" t="s">
        <v>61</v>
      </c>
      <c r="C13" s="57"/>
      <c r="D13" s="58"/>
      <c r="E13" s="58"/>
    </row>
    <row r="14">
      <c r="B14" s="63"/>
      <c r="C14" s="57"/>
      <c r="D14" s="58"/>
      <c r="E14" s="58"/>
    </row>
    <row r="15" ht="15">
      <c r="B15" s="59" t="s">
        <v>62</v>
      </c>
      <c r="C15" s="57"/>
      <c r="D15" s="58"/>
      <c r="E15" s="58"/>
      <c r="H15" s="64">
        <v>12849725</v>
      </c>
    </row>
    <row r="16" thickBot="1" ht="15.75">
      <c r="B16" s="65" t="s">
        <v>63</v>
      </c>
      <c r="C16" s="66">
        <v>9646275</v>
      </c>
    </row>
    <row r="17" thickBot="1" ht="15.75">
      <c r="B17" s="65" t="s">
        <v>64</v>
      </c>
      <c r="C17" s="66">
        <v>1555324</v>
      </c>
    </row>
    <row r="18" thickBot="1" ht="15.75">
      <c r="B18" s="65" t="s">
        <v>65</v>
      </c>
      <c r="C18" s="52">
        <v>1648126</v>
      </c>
    </row>
    <row r="20" ht="15">
      <c r="B20" s="67" t="s">
        <v>66</v>
      </c>
      <c r="H20" s="64">
        <v>3434459</v>
      </c>
    </row>
  </sheetData>
  <mergeCells count="2">
    <mergeCell ref="C4:E4"/>
    <mergeCell ref="D6:G6"/>
  </mergeCell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 topLeftCell="A7">
      <selection activeCell="J40" sqref="J40"/>
    </sheetView>
  </sheetViews>
  <sheetFormatPr defaultRowHeight="14.25"/>
  <cols>
    <col min="2" max="2" width="34.5" bestFit="1" customWidth="1"/>
    <col min="3" max="3" width="11.125" bestFit="1" customWidth="1"/>
    <col min="4" max="4" width="1.75" customWidth="1"/>
    <col min="5" max="5" width="11.125" bestFit="1" customWidth="1"/>
    <col min="6" max="6" width="19.625" customWidth="1"/>
    <col min="7" max="7" width="11.125" bestFit="1" customWidth="1"/>
    <col min="9" max="10" width="11.125" bestFit="1" customWidth="1"/>
  </cols>
  <sheetData>
    <row r="4" thickBot="1" ht="21">
      <c r="B4" s="45" t="s">
        <v>67</v>
      </c>
      <c r="C4" s="46"/>
      <c r="D4" s="68"/>
      <c r="E4" s="47"/>
      <c r="F4" s="47"/>
      <c r="G4" s="47"/>
      <c r="H4" s="47"/>
      <c r="I4" s="47"/>
    </row>
    <row r="5" thickBot="1" ht="19.5">
      <c r="B5" s="48"/>
      <c r="C5" s="49" t="s">
        <v>68</v>
      </c>
      <c r="D5" s="50"/>
      <c r="E5" s="50"/>
      <c r="F5" s="50"/>
      <c r="G5" s="50"/>
      <c r="H5" s="50"/>
      <c r="I5" s="50"/>
    </row>
    <row r="6" thickBot="1" ht="15.75">
      <c r="B6" s="51"/>
      <c r="C6" s="52"/>
      <c r="D6" s="52"/>
      <c r="E6" s="69" t="s">
        <v>69</v>
      </c>
      <c r="F6" s="69"/>
      <c r="G6" s="69"/>
      <c r="H6" s="69"/>
      <c r="I6" s="69"/>
      <c r="J6" s="69"/>
    </row>
    <row r="7" thickBot="1" ht="38" customHeight="1">
      <c r="B7" s="56" t="s">
        <v>51</v>
      </c>
      <c r="C7" s="54" t="s">
        <v>37</v>
      </c>
      <c r="D7" s="54"/>
      <c r="E7" s="70" t="s">
        <v>49</v>
      </c>
      <c r="F7" s="70"/>
      <c r="G7" s="70"/>
      <c r="H7" s="70"/>
      <c r="I7" s="71" t="s">
        <v>70</v>
      </c>
      <c r="J7" s="71" t="s">
        <v>59</v>
      </c>
    </row>
    <row r="8" ht="15">
      <c r="B8" s="72" t="s">
        <v>71</v>
      </c>
      <c r="C8" s="73"/>
      <c r="D8" s="73"/>
      <c r="E8" s="74" t="s">
        <v>52</v>
      </c>
      <c r="F8" s="74" t="s">
        <v>53</v>
      </c>
      <c r="G8" s="74" t="s">
        <v>54</v>
      </c>
      <c r="H8" s="74" t="s">
        <v>55</v>
      </c>
      <c r="I8" s="74"/>
    </row>
    <row r="9" ht="15">
      <c r="B9" s="72" t="s">
        <v>72</v>
      </c>
      <c r="C9" s="73"/>
      <c r="D9" s="73"/>
      <c r="E9" s="74"/>
      <c r="F9" s="74"/>
      <c r="G9" s="74"/>
      <c r="H9" s="74"/>
      <c r="I9" s="74"/>
    </row>
    <row r="10">
      <c r="B10" s="75" t="s">
        <v>73</v>
      </c>
      <c r="C10" s="76">
        <v>2500000</v>
      </c>
      <c r="D10" s="73"/>
      <c r="E10" s="77">
        <v>800000</v>
      </c>
      <c r="F10" s="78"/>
      <c r="G10" s="78"/>
      <c r="H10" s="78"/>
      <c r="I10" s="74">
        <f>C10-E10</f>
        <v>1700000</v>
      </c>
    </row>
    <row r="11">
      <c r="B11" s="75" t="s">
        <v>74</v>
      </c>
      <c r="C11" s="79">
        <v>5000000</v>
      </c>
      <c r="D11" s="73"/>
      <c r="E11" s="77">
        <v>1000000</v>
      </c>
      <c r="F11" s="78"/>
      <c r="G11" s="78"/>
      <c r="H11" s="78"/>
      <c r="I11" s="74">
        <f t="shared" ref="I11:I25" si="0">C11-E11</f>
        <v>4000000</v>
      </c>
    </row>
    <row r="12">
      <c r="B12" s="80" t="s">
        <v>75</v>
      </c>
      <c r="C12" s="81">
        <v>750000</v>
      </c>
      <c r="D12" s="73"/>
      <c r="E12" s="82">
        <v>825000</v>
      </c>
      <c r="F12" s="78"/>
      <c r="G12" s="78"/>
      <c r="H12" s="78"/>
      <c r="I12" s="74">
        <f t="shared" si="0"/>
        <v>-75000</v>
      </c>
    </row>
    <row r="13">
      <c r="B13" s="80" t="s">
        <v>76</v>
      </c>
      <c r="C13" s="76">
        <v>2500000</v>
      </c>
      <c r="D13" s="73"/>
      <c r="E13" s="82">
        <v>680400</v>
      </c>
      <c r="F13" s="78"/>
      <c r="G13" s="78"/>
      <c r="H13" s="78"/>
      <c r="I13" s="74">
        <f t="shared" si="0"/>
        <v>1819600</v>
      </c>
    </row>
    <row r="14">
      <c r="B14" s="83" t="s">
        <v>77</v>
      </c>
      <c r="C14" s="79">
        <v>5000000</v>
      </c>
      <c r="D14" s="73"/>
      <c r="E14" s="74"/>
      <c r="F14" s="74"/>
      <c r="G14" s="74"/>
      <c r="H14" s="74"/>
      <c r="I14" s="74">
        <f t="shared" si="0"/>
        <v>5000000</v>
      </c>
    </row>
    <row r="15">
      <c r="B15" s="83" t="s">
        <v>78</v>
      </c>
      <c r="C15" s="81">
        <v>750000</v>
      </c>
      <c r="D15" s="73"/>
      <c r="E15" s="74"/>
      <c r="F15" s="74"/>
      <c r="G15" s="74"/>
      <c r="H15" s="74"/>
      <c r="I15" s="74">
        <f t="shared" si="0"/>
        <v>750000</v>
      </c>
    </row>
    <row r="16">
      <c r="B16" s="75" t="s">
        <v>79</v>
      </c>
      <c r="C16" s="76">
        <v>2500000</v>
      </c>
      <c r="D16" s="73"/>
      <c r="E16" s="74"/>
      <c r="F16" s="74"/>
      <c r="G16" s="74"/>
      <c r="H16" s="74"/>
      <c r="I16" s="74">
        <f t="shared" si="0"/>
        <v>2500000</v>
      </c>
    </row>
    <row r="17">
      <c r="B17" s="84" t="s">
        <v>80</v>
      </c>
      <c r="C17" s="79">
        <v>5000000</v>
      </c>
      <c r="D17" s="79"/>
      <c r="E17" s="74">
        <v>0</v>
      </c>
      <c r="F17" s="74"/>
      <c r="G17" s="74"/>
      <c r="H17" s="74"/>
      <c r="I17" s="74">
        <f t="shared" si="0"/>
        <v>5000000</v>
      </c>
    </row>
    <row r="18">
      <c r="B18" s="84" t="s">
        <v>81</v>
      </c>
      <c r="C18" s="81">
        <v>750000</v>
      </c>
      <c r="D18" s="79"/>
      <c r="E18" s="74"/>
      <c r="F18" s="74"/>
      <c r="G18" s="74"/>
      <c r="H18" s="74"/>
      <c r="I18" s="74">
        <f t="shared" si="0"/>
        <v>750000</v>
      </c>
    </row>
    <row r="19">
      <c r="B19" s="85" t="s">
        <v>82</v>
      </c>
      <c r="C19" s="81">
        <v>750000</v>
      </c>
      <c r="D19" s="79"/>
      <c r="E19" s="74"/>
      <c r="F19" s="74"/>
      <c r="G19" s="74"/>
      <c r="H19" s="74"/>
      <c r="I19" s="74">
        <f t="shared" si="0"/>
        <v>750000</v>
      </c>
    </row>
    <row r="20" ht="15">
      <c r="B20" s="72" t="s">
        <v>83</v>
      </c>
      <c r="C20" s="73">
        <f t="shared" ref="C20:C39" si="1">L20+N20</f>
        <v>0</v>
      </c>
      <c r="D20" s="73"/>
      <c r="E20" s="74"/>
      <c r="F20" s="74"/>
      <c r="G20" s="74"/>
      <c r="H20" s="74"/>
      <c r="I20" s="74">
        <f>C20-E20</f>
        <v>0</v>
      </c>
    </row>
    <row r="21">
      <c r="B21" s="86" t="s">
        <v>84</v>
      </c>
      <c r="C21" s="76">
        <v>2500000</v>
      </c>
      <c r="D21" s="73"/>
      <c r="E21" s="82">
        <v>450000</v>
      </c>
      <c r="F21" s="78"/>
      <c r="G21" s="78"/>
      <c r="H21" s="78"/>
      <c r="I21" s="74">
        <f t="shared" si="0"/>
        <v>2050000</v>
      </c>
    </row>
    <row r="22">
      <c r="B22" s="80" t="s">
        <v>85</v>
      </c>
      <c r="C22" s="79">
        <v>5000000</v>
      </c>
      <c r="D22" s="73"/>
      <c r="E22" s="82">
        <v>20000</v>
      </c>
      <c r="F22" s="78"/>
      <c r="G22" s="78"/>
      <c r="H22" s="78"/>
      <c r="I22" s="74">
        <f t="shared" si="0"/>
        <v>4980000</v>
      </c>
    </row>
    <row r="23">
      <c r="B23" s="86" t="s">
        <v>86</v>
      </c>
      <c r="C23" s="81">
        <v>750000</v>
      </c>
      <c r="D23" s="73"/>
      <c r="E23" s="82">
        <v>600000</v>
      </c>
      <c r="F23" s="78"/>
      <c r="G23" s="78"/>
      <c r="H23" s="78"/>
      <c r="I23" s="74">
        <f t="shared" si="0"/>
        <v>150000</v>
      </c>
    </row>
    <row r="24">
      <c r="B24" s="80" t="s">
        <v>87</v>
      </c>
      <c r="C24" s="76">
        <v>2500000</v>
      </c>
      <c r="D24" s="73"/>
      <c r="E24" s="82">
        <v>324000</v>
      </c>
      <c r="F24" s="78"/>
      <c r="G24" s="78"/>
      <c r="H24" s="78"/>
      <c r="I24" s="74">
        <f t="shared" si="0"/>
        <v>2176000</v>
      </c>
    </row>
    <row r="25">
      <c r="B25" s="75" t="s">
        <v>88</v>
      </c>
      <c r="C25" s="79">
        <v>5000000</v>
      </c>
      <c r="D25" s="73"/>
      <c r="E25" s="77">
        <v>450000</v>
      </c>
      <c r="F25" s="78"/>
      <c r="G25" s="78"/>
      <c r="H25" s="78"/>
      <c r="I25" s="74">
        <f t="shared" si="0"/>
        <v>4550000</v>
      </c>
    </row>
    <row r="26">
      <c r="B26" s="87" t="s">
        <v>89</v>
      </c>
      <c r="C26" s="81">
        <v>750000</v>
      </c>
      <c r="D26" s="73"/>
      <c r="E26" s="74"/>
      <c r="F26" s="74"/>
      <c r="G26" s="74"/>
      <c r="H26" s="74"/>
      <c r="I26" s="74">
        <f>C26-E26</f>
        <v>750000</v>
      </c>
    </row>
    <row r="27" ht="15">
      <c r="B27" s="72"/>
      <c r="C27" s="73"/>
      <c r="D27" s="73"/>
      <c r="E27" s="74"/>
      <c r="F27" s="74"/>
      <c r="G27" s="74"/>
      <c r="H27" s="74"/>
      <c r="I27" s="74">
        <f t="shared" ref="I27:I30" si="2">C27-E27</f>
        <v>0</v>
      </c>
    </row>
    <row r="28" ht="15">
      <c r="B28" s="72" t="s">
        <v>90</v>
      </c>
      <c r="C28" s="73">
        <v>180000</v>
      </c>
      <c r="D28" s="73"/>
      <c r="E28" s="73">
        <f>140000</f>
        <v>140000</v>
      </c>
      <c r="F28" s="73"/>
      <c r="G28" s="73"/>
      <c r="H28" s="73"/>
      <c r="I28" s="74">
        <f t="shared" si="2"/>
        <v>40000</v>
      </c>
    </row>
    <row r="29" ht="15">
      <c r="B29" s="72"/>
      <c r="C29" s="73"/>
      <c r="D29" s="73"/>
      <c r="E29" s="73"/>
      <c r="F29" s="73"/>
      <c r="G29" s="73"/>
      <c r="H29" s="73"/>
      <c r="I29" s="74">
        <f t="shared" si="2"/>
        <v>0</v>
      </c>
    </row>
    <row r="30" ht="15">
      <c r="B30" s="72" t="s">
        <v>91</v>
      </c>
      <c r="C30" s="73">
        <f>SUM(C10:C28)</f>
        <v>42180000</v>
      </c>
      <c r="D30" s="73"/>
      <c r="E30" s="73">
        <f>SUM(E10:E28)</f>
        <v>5289400</v>
      </c>
      <c r="F30" s="73"/>
      <c r="G30" s="73"/>
      <c r="H30" s="73"/>
      <c r="I30" s="74">
        <f t="shared" si="2"/>
        <v>36890600</v>
      </c>
      <c r="J30" s="41">
        <f>E30+I30</f>
        <v>42180000</v>
      </c>
    </row>
    <row r="31">
      <c r="C31" s="73"/>
      <c r="D31" s="73"/>
      <c r="E31" s="74"/>
      <c r="F31" s="74"/>
      <c r="G31" s="74"/>
      <c r="H31" s="74"/>
      <c r="I31" s="74"/>
    </row>
    <row r="32" ht="15">
      <c r="B32" s="72"/>
      <c r="C32" s="73"/>
      <c r="D32" s="73"/>
      <c r="E32" s="74"/>
      <c r="F32" s="74"/>
      <c r="G32" s="74"/>
      <c r="H32" s="74"/>
      <c r="I32" s="74"/>
    </row>
    <row r="33" ht="15">
      <c r="B33" s="72" t="s">
        <v>92</v>
      </c>
      <c r="C33" s="88">
        <f>12300000</f>
        <v>12300000</v>
      </c>
      <c r="D33" s="89"/>
      <c r="E33" s="90">
        <f>8853044+61914+320912+224781+150000</f>
        <v>9610651</v>
      </c>
      <c r="F33" s="91"/>
      <c r="G33" s="91"/>
      <c r="H33" s="91"/>
      <c r="I33" s="92">
        <f>SUM(Sheet1!D5:D14)</f>
        <v>1650000</v>
      </c>
      <c r="J33" s="41">
        <f>SUM(E33:F33)</f>
        <v>9610651</v>
      </c>
    </row>
    <row r="34" ht="15">
      <c r="B34" s="93"/>
      <c r="C34" s="89"/>
      <c r="D34" s="89"/>
      <c r="E34" s="73"/>
      <c r="F34" s="73"/>
      <c r="G34" s="73"/>
      <c r="H34" s="73"/>
      <c r="I34" s="92">
        <f>SUM(Sheet1!G6:G15)</f>
        <v>0</v>
      </c>
      <c r="J34" s="41"/>
    </row>
    <row r="35" ht="15">
      <c r="B35" s="93" t="s">
        <v>93</v>
      </c>
      <c r="C35" s="89">
        <v>500000</v>
      </c>
      <c r="D35" s="89"/>
      <c r="E35" s="57">
        <v>435283</v>
      </c>
      <c r="F35" s="57"/>
      <c r="G35" s="57"/>
      <c r="H35" s="57"/>
      <c r="I35" s="92">
        <f>SUM(Sheet1!G7:G16)</f>
        <v>0</v>
      </c>
      <c r="J35" s="41">
        <f>SUM(E35:F35)</f>
        <v>435283</v>
      </c>
    </row>
    <row r="36" ht="15">
      <c r="B36" s="93"/>
      <c r="C36" s="89"/>
      <c r="D36" s="89"/>
      <c r="E36" s="73"/>
      <c r="F36" s="73"/>
      <c r="G36" s="73"/>
      <c r="H36" s="73"/>
      <c r="I36" s="92"/>
      <c r="J36" s="41"/>
    </row>
    <row r="39">
      <c r="B39" t="s">
        <v>94</v>
      </c>
      <c r="E39" s="41">
        <f>E35+E33+E30</f>
        <v>15335334</v>
      </c>
      <c r="F39" s="41"/>
      <c r="G39" s="41"/>
      <c r="H39" s="41"/>
      <c r="I39" s="41">
        <f>I35+I33+I30</f>
        <v>38540600</v>
      </c>
      <c r="J39" s="41">
        <f>J35+J33+J30</f>
        <v>52225934</v>
      </c>
    </row>
  </sheetData>
  <mergeCells count="2">
    <mergeCell ref="C5:F5"/>
    <mergeCell ref="E6:G6"/>
  </mergeCells>
  <conditionalFormatting sqref="E33">
    <cfRule priority="1" dxfId="0" type="duplicateValues"/>
  </conditionalFormatting>
  <conditionalFormatting sqref="B18">
    <cfRule priority="2" type="colorScale">
      <colorScale>
        <cfvo type="min"/>
        <cfvo type="max"/>
        <color rgb="FFFCFCFF"/>
        <color rgb="FF63BE7B"/>
      </colorScale>
    </cfRule>
    <cfRule priority="3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{B9B3CC1F-D485-4D42-9586-A4FCE64943A5}</x14:id>
        </ext>
      </extLst>
    </cfRule>
    <cfRule priority="4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{2B7991CE-4B40-40E7-ADEF-3F77CFEC45AC}</x14:id>
        </ext>
      </extLst>
    </cfRule>
    <cfRule priority="5" type="colorScale">
      <colorScale>
        <cfvo type="min"/>
        <cfvo type="max"/>
        <color rgb="FFFCFCFF"/>
        <color rgb="FF63BE7B"/>
      </colorScale>
    </cfRule>
  </conditionalFormatting>
  <conditionalFormatting sqref="B17">
    <cfRule priority="6" type="colorScale">
      <colorScale>
        <cfvo type="min"/>
        <cfvo type="max"/>
        <color rgb="FFFCFCFF"/>
        <color rgb="FF63BE7B"/>
      </colorScale>
    </cfRule>
    <cfRule priority="7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{619941E2-5E48-4ABB-8060-FE79C678D66D}</x14:id>
        </ext>
      </extLst>
    </cfRule>
    <cfRule priority="8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{9DB6A21B-2250-4DCC-A800-3D1E2AF886CE}</x14:id>
        </ext>
      </extLst>
    </cfRule>
    <cfRule priority="9" type="colorScale">
      <colorScale>
        <cfvo type="min"/>
        <cfvo type="max"/>
        <color rgb="FFFCFCFF"/>
        <color rgb="FF63BE7B"/>
      </colorScale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id="{B9B3CC1F-D485-4D42-9586-A4FCE64943A5}" type="dataBar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id="{2B7991CE-4B40-40E7-ADEF-3F77CFEC45AC}" type="dataBar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id="{619941E2-5E48-4ABB-8060-FE79C678D66D}" type="dataBar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id="{9DB6A21B-2250-4DCC-A800-3D1E2AF886CE}" type="dataBar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</x14:conditionalFormattings>
    </ext>
  </extLst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K13" sqref="K13"/>
    </sheetView>
  </sheetViews>
  <sheetFormatPr defaultRowHeight="14.25"/>
  <cols>
    <col min="3" max="3" width="12.375" bestFit="1" customWidth="1"/>
    <col min="4" max="4" width="9.625" bestFit="1" customWidth="1"/>
    <col min="9" max="9" width="11.125" bestFit="1" customWidth="1"/>
    <col min="14" max="14" width="11.125" bestFit="1" customWidth="1"/>
  </cols>
  <sheetData>
    <row r="5" ht="14.5">
      <c r="C5" t="s">
        <v>95</v>
      </c>
      <c r="D5" s="36">
        <v>400000</v>
      </c>
      <c r="F5" s="94" t="s">
        <v>96</v>
      </c>
      <c r="G5" s="57"/>
      <c r="H5" s="58"/>
      <c r="I5" s="57">
        <v>10600000</v>
      </c>
      <c r="K5" s="94" t="s">
        <v>96</v>
      </c>
      <c r="L5" s="57"/>
      <c r="M5" s="58"/>
      <c r="N5" s="57">
        <v>11000000</v>
      </c>
    </row>
    <row r="6" ht="14.5">
      <c r="C6" t="s">
        <v>97</v>
      </c>
      <c r="D6" s="36">
        <v>200000</v>
      </c>
      <c r="F6" s="94" t="s">
        <v>98</v>
      </c>
      <c r="G6" s="57"/>
      <c r="H6" s="58"/>
      <c r="I6" s="57">
        <v>124266</v>
      </c>
      <c r="K6" s="94" t="s">
        <v>98</v>
      </c>
      <c r="L6" s="57"/>
      <c r="M6" s="58"/>
      <c r="N6" s="57">
        <v>124266</v>
      </c>
    </row>
    <row r="7" ht="14.5">
      <c r="C7" t="s">
        <v>99</v>
      </c>
      <c r="D7" s="36">
        <v>300000</v>
      </c>
      <c r="F7" s="94" t="s">
        <v>100</v>
      </c>
      <c r="G7" s="57"/>
      <c r="H7" s="58"/>
      <c r="I7" s="57">
        <v>500000</v>
      </c>
      <c r="K7" s="94" t="s">
        <v>100</v>
      </c>
      <c r="L7" s="57"/>
      <c r="M7" s="58"/>
      <c r="N7" s="57">
        <v>500000</v>
      </c>
    </row>
    <row r="8" ht="14.5">
      <c r="C8" t="s">
        <v>101</v>
      </c>
      <c r="D8" s="36">
        <f>350000*0</f>
        <v>0</v>
      </c>
      <c r="F8" s="94" t="s">
        <v>102</v>
      </c>
      <c r="G8" s="57"/>
      <c r="H8" s="58"/>
      <c r="I8" s="57">
        <v>500000</v>
      </c>
      <c r="K8" s="94" t="s">
        <v>102</v>
      </c>
      <c r="L8" s="57"/>
      <c r="M8" s="58"/>
      <c r="N8" s="57">
        <v>500000</v>
      </c>
    </row>
    <row r="9" ht="14.5">
      <c r="C9" t="s">
        <v>103</v>
      </c>
      <c r="D9" s="36">
        <v>350000</v>
      </c>
      <c r="F9" s="94" t="s">
        <v>104</v>
      </c>
      <c r="G9" s="57"/>
      <c r="H9" s="58"/>
      <c r="I9" s="57">
        <v>2000000</v>
      </c>
      <c r="K9" s="95" t="s">
        <v>105</v>
      </c>
      <c r="N9" s="57">
        <v>500000</v>
      </c>
    </row>
    <row r="10" ht="14.5">
      <c r="C10" t="s">
        <v>106</v>
      </c>
      <c r="D10" s="36"/>
      <c r="F10" s="94" t="s">
        <v>107</v>
      </c>
      <c r="G10" s="57"/>
      <c r="H10" s="58"/>
      <c r="I10" s="57">
        <v>916634.44999999995</v>
      </c>
      <c r="K10" s="95" t="s">
        <v>108</v>
      </c>
      <c r="N10" s="57">
        <v>361000</v>
      </c>
    </row>
    <row r="11" ht="14.5">
      <c r="C11" t="s">
        <v>109</v>
      </c>
      <c r="D11" s="36"/>
      <c r="K11" s="95" t="s">
        <v>110</v>
      </c>
      <c r="N11" s="57">
        <v>500000</v>
      </c>
    </row>
    <row r="12" ht="14.5">
      <c r="C12" t="s">
        <v>111</v>
      </c>
      <c r="D12" s="36">
        <v>100000</v>
      </c>
      <c r="K12" s="95" t="s">
        <v>112</v>
      </c>
      <c r="N12" s="57">
        <v>200000</v>
      </c>
    </row>
    <row r="13" ht="14.5">
      <c r="C13" t="s">
        <v>113</v>
      </c>
      <c r="D13" s="36">
        <v>200000</v>
      </c>
      <c r="I13" s="41">
        <f>SUM(I5:I12)</f>
        <v>14640900.449999999</v>
      </c>
      <c r="N13" s="41">
        <f>SUM(N5:N12)</f>
        <v>13685266</v>
      </c>
    </row>
    <row r="14" ht="14.5">
      <c r="C14" t="s">
        <v>114</v>
      </c>
      <c r="D14" s="36">
        <v>100000</v>
      </c>
    </row>
    <row r="16" ht="14.5">
      <c r="D16" s="41">
        <f>SUM(D5:D15)</f>
        <v>1650000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Nazim Sait Arif</dc:creator>
  <cp:lastModifiedBy>LAPTOP-A6EA9Q1N\Acer</cp:lastModifiedBy>
  <dcterms:created xsi:type="dcterms:W3CDTF">2026-03-27T10:47:14Z</dcterms:created>
  <dcterms:modified xsi:type="dcterms:W3CDTF">2026-04-04T09:51:27Z</dcterms:modified>
</cp:coreProperties>
</file>