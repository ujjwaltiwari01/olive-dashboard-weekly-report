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BE38B58A-C897-4613-AEEF-1D392699A6E8}" xr6:coauthVersionLast="47" xr6:coauthVersionMax="47" xr10:uidLastSave="{00000000-0000-0000-0000-000000000000}"/>
  <bookViews>
    <workbookView xWindow="-110" yWindow="-110" windowWidth="19420" windowHeight="11500" activeTab="1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2" l="1"/>
  <c r="Q12" i="2"/>
  <c r="C33" i="5"/>
  <c r="G33" i="5"/>
  <c r="F22" i="2" l="1"/>
  <c r="O13" i="7"/>
  <c r="R14" i="2" l="1"/>
  <c r="E14" i="2"/>
  <c r="F14" i="2"/>
  <c r="G14" i="2"/>
  <c r="H14" i="2"/>
  <c r="I14" i="2"/>
  <c r="J14" i="2"/>
  <c r="K14" i="2"/>
  <c r="L14" i="2"/>
  <c r="M14" i="2"/>
  <c r="N14" i="2"/>
  <c r="O14" i="2"/>
  <c r="D14" i="2"/>
  <c r="Q11" i="2"/>
  <c r="Q10" i="2"/>
  <c r="R10" i="2" s="1"/>
  <c r="Q5" i="2"/>
  <c r="D39" i="5"/>
  <c r="E39" i="5"/>
  <c r="F39" i="5"/>
  <c r="H39" i="5"/>
  <c r="E10" i="4"/>
  <c r="F10" i="4"/>
  <c r="H10" i="4" s="1"/>
  <c r="G10" i="4"/>
  <c r="D10" i="4"/>
  <c r="E9" i="4"/>
  <c r="F9" i="4"/>
  <c r="G9" i="4"/>
  <c r="D9" i="4"/>
  <c r="E8" i="4"/>
  <c r="F8" i="4"/>
  <c r="H8" i="4" s="1"/>
  <c r="G8" i="4"/>
  <c r="D8" i="4"/>
  <c r="C8" i="4"/>
  <c r="I36" i="5"/>
  <c r="I37" i="5"/>
  <c r="I38" i="5"/>
  <c r="C39" i="5"/>
  <c r="J34" i="5"/>
  <c r="I34" i="5"/>
  <c r="I35" i="5"/>
  <c r="J35" i="5" s="1"/>
  <c r="I33" i="5"/>
  <c r="J33" i="5" s="1"/>
  <c r="H32" i="5"/>
  <c r="G32" i="5"/>
  <c r="G39" i="5" s="1"/>
  <c r="F32" i="5"/>
  <c r="E32" i="5"/>
  <c r="D32" i="5"/>
  <c r="C32" i="5"/>
  <c r="I32" i="5" s="1"/>
  <c r="J32" i="5" s="1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I39" i="5" l="1"/>
  <c r="J39" i="5" s="1"/>
  <c r="P13" i="7"/>
  <c r="G26" i="7"/>
  <c r="G25" i="7"/>
  <c r="O4" i="7" s="1"/>
  <c r="P4" i="7" s="1"/>
  <c r="G24" i="7"/>
  <c r="O14" i="7" s="1"/>
  <c r="P1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6" i="7" l="1"/>
  <c r="O15" i="7"/>
  <c r="P15" i="7" s="1"/>
  <c r="P18" i="7"/>
  <c r="P5" i="7"/>
  <c r="P17" i="7"/>
  <c r="C9" i="4" l="1"/>
  <c r="H9" i="4" s="1"/>
  <c r="H15" i="4" l="1"/>
  <c r="E28" i="2"/>
  <c r="F28" i="2"/>
  <c r="G28" i="2"/>
  <c r="E29" i="2"/>
  <c r="F29" i="2"/>
  <c r="G29" i="2"/>
  <c r="D28" i="2"/>
  <c r="D29" i="2"/>
  <c r="H22" i="2"/>
  <c r="H23" i="2"/>
  <c r="H24" i="2"/>
  <c r="H25" i="2"/>
  <c r="H21" i="2"/>
  <c r="H29" i="2" l="1"/>
  <c r="H28" i="2"/>
  <c r="F11" i="4" l="1"/>
  <c r="G11" i="4"/>
  <c r="H11" i="4" l="1"/>
  <c r="H20" i="4" s="1"/>
  <c r="D11" i="4"/>
  <c r="C29" i="2"/>
  <c r="C28" i="2"/>
  <c r="N13" i="6" l="1"/>
  <c r="D8" i="6" l="1"/>
  <c r="D16" i="6"/>
  <c r="J15" i="3"/>
  <c r="J14" i="3"/>
  <c r="J6" i="3"/>
  <c r="J5" i="3"/>
  <c r="E11" i="4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C10" i="4" l="1"/>
  <c r="C11" i="4" s="1"/>
  <c r="C12" i="2"/>
  <c r="D12" i="2" s="1"/>
  <c r="C7" i="2"/>
  <c r="D7" i="2" s="1"/>
  <c r="F26" i="3" l="1"/>
  <c r="C26" i="3"/>
  <c r="C17" i="3"/>
  <c r="D15" i="3" s="1"/>
  <c r="F17" i="3"/>
  <c r="J13" i="3" s="1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G14" i="3" l="1"/>
  <c r="O18" i="2"/>
  <c r="P12" i="2"/>
  <c r="Q7" i="2"/>
  <c r="P7" i="2"/>
  <c r="G15" i="3"/>
  <c r="G5" i="3"/>
  <c r="J4" i="3"/>
  <c r="D14" i="3"/>
  <c r="J22" i="3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<sst xmlns="http://schemas.openxmlformats.org/spreadsheetml/2006/main" count="193" uniqueCount="126">
  <si>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</si>
  <si>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</si>
  <si>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</si>
  <si>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</si>
  <si>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</si>
  <si>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</si>
  <si>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</si>
  <si>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</si>
  <si>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</si>
  <si>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</si>
  <si>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</si>
  <si>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</si>
  <si>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</si>
  <si>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</si>
  <si>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</si>
  <si>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</si>
  <si>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</si>
  <si>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</si>
  <si>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</si>
  <si>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</si>
  <si>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</si>
  <si>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</si>
  <si>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</si>
  <si>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</si>
  <si>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</si>
  <si>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</si>
  <si>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</si>
  <si>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</si>
  <si>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</si>
  <si>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</si>
  <si>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</si>
  <si>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</si>
  <si>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</si>
  <si>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</si>
  <si>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</si>
  <si>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</si>
  <si>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</si>
  <si>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</si>
  <si>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</si>
  <si>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</si>
  <si>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</si>
  <si>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</si>
  <si>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</si>
  <si>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</si>
  <si>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</si>
  <si>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</si>
  <si>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</si>
  <si>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</si>
  <si>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</si>
  <si>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</si>
  <si>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</si>
  <si>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</si>
  <si>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</si>
  <si>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</si>
  <si>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</si>
  <si>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</si>
  <si>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</si>
  <si>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</si>
  <si>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</si>
  <si>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</si>
  <si>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</si>
  <si>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</si>
  <si>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</si>
  <si>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</si>
  <si>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</si>
  <si>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</si>
  <si>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</si>
  <si>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</si>
  <si>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</si>
  <si>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</si>
  <si>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</si>
  <si>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</si>
  <si>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</si>
  <si>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</si>
  <si>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</si>
  <si>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</si>
  <si>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</si>
  <si>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</si>
  <si>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</si>
  <si>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</si>
  <si>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</si>
  <si>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</si>
  <si>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</si>
  <si>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</si>
  <si>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</si>
  <si>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</si>
  <si>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</si>
  <si>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</si>
  <si>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</si>
  <si>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</si>
  <si>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</si>
  <si>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</si>
  <si>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</si>
  <si>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</si>
  <si>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</si>
  <si>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</si>
  <si>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</si>
  <si>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</si>
  <si>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</si>
  <si>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</si>
  <si>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</si>
  <si>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</si>
  <si>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</si>
  <si>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</si>
  <si>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Hulimavu, Bangalore</t>
  </si>
  <si>
    <t>Nagavara, Bangalore</t>
  </si>
  <si>
    <t>JP Nagar, Bangalore</t>
  </si>
  <si>
    <t>Olive Yelahanka near BMSIT BLR</t>
  </si>
  <si>
    <t>Guntur, AP</t>
  </si>
  <si>
    <t>30th April '26</t>
  </si>
  <si>
    <t>Andheri - Le Grande</t>
  </si>
  <si>
    <t>Spark Rajkot</t>
  </si>
  <si>
    <t>Spark Vision Ventures - Tathawade</t>
  </si>
  <si>
    <t>Olive Bharatpur</t>
  </si>
  <si>
    <t>Olive Kakkanad Info Park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</si>
  <si>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</si>
  <si>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</si>
  <si>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</si>
  <si>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</si>
  <si>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</si>
  <si>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1. New Signings – Open Brand:</t>
  </si>
  <si>
    <t>Handover date</t>
  </si>
  <si>
    <t>Go-live date</t>
  </si>
  <si>
    <t>15th May '27</t>
  </si>
  <si>
    <t>April '26 WIP</t>
  </si>
  <si>
    <t>Operational Properties – Open Brand:
Chamiers Park: 25 keys
The Botanica: 50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</si>
</sst>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4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4" borderId="4" xfId="0" applyFont="1" applyFill="1" applyBorder="1" applyAlignment="1">
      <alignment horizontal="left"/>
    </xf>
    <xf numFmtId="164" fontId="0" fillId="0" borderId="4" xfId="0" applyNumberFormat="1" applyBorder="1"/>
    <xf numFmtId="164" fontId="0" fillId="13" borderId="0" xfId="1" applyNumberFormat="1" applyFont="1" applyFill="1"/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5" borderId="0" xfId="1" applyNumberFormat="1" applyFont="1" applyFill="1"/>
    <xf numFmtId="164" fontId="2" fillId="2" borderId="0" xfId="1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11" xfId="0" applyFont="1" applyBorder="1"/>
    <xf numFmtId="0" fontId="0" fillId="0" borderId="0" xfId="0" applyBorder="1"/>
    <xf numFmtId="0" fontId="20" fillId="0" borderId="11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0" fillId="0" borderId="0" xfId="0" applyNumberFormat="1" applyFill="1"/>
    <xf numFmtId="164" fontId="17" fillId="0" borderId="0" xfId="0" applyNumberFormat="1" applyFont="1" applyFill="1" applyAlignment="1">
      <alignment horizontal="left"/>
    </xf>
    <xf numFmtId="0" fontId="0" fillId="0" borderId="0" xfId="0" applyFill="1"/>
    <xf numFmtId="164" fontId="0" fillId="0" borderId="0" xfId="1" applyNumberFormat="1" applyFont="1" applyFill="1"/>
    <xf numFmtId="17" fontId="0" fillId="0" borderId="0" xfId="0" applyNumberFormat="1" applyFill="1"/>
    <xf numFmtId="3" fontId="0" fillId="0" borderId="0" xfId="0" applyNumberFormat="1" applyFill="1"/>
    <xf numFmtId="9" fontId="0" fillId="0" borderId="0" xfId="2" applyFont="1" applyFill="1"/>
    <xf numFmtId="164" fontId="0" fillId="0" borderId="0" xfId="1" applyNumberFormat="1" applyFont="1" applyFill="1" applyAlignment="1">
      <alignment horizontal="center"/>
    </xf>
    <xf numFmtId="164" fontId="0" fillId="0" borderId="0" xfId="1" quotePrefix="1" applyNumberFormat="1" applyFont="1" applyFill="1"/>
    <xf numFmtId="17" fontId="0" fillId="0" borderId="0" xfId="0" quotePrefix="1" applyNumberFormat="1" applyFill="1"/>
    <xf numFmtId="3" fontId="2" fillId="13" borderId="0" xfId="0" applyNumberFormat="1" applyFont="1" applyFill="1" applyAlignment="1">
      <alignment horizontal="center"/>
    </xf>
    <xf numFmtId="0" fontId="0" fillId="13" borderId="0" xfId="0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6"/>
  <sheetViews>
    <sheetView topLeftCell="A19" workbookViewId="0">
      <selection activeCell="A30" sqref="A30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4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5"/>
    </row>
    <row r="3" spans="1:16">
      <c r="A3" s="1" t="s">
        <v>0</v>
      </c>
      <c r="B3" s="46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6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47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47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5"/>
      <c r="P7" s="2"/>
    </row>
    <row r="8" spans="1:16">
      <c r="A8" s="1" t="s">
        <v>0</v>
      </c>
      <c r="B8" s="46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6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47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47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5"/>
      <c r="P12" s="2"/>
    </row>
    <row r="13" spans="1:16">
      <c r="A13" s="1" t="s">
        <v>0</v>
      </c>
      <c r="B13" s="46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2">
        <f>SUM(B13:O13)</f>
        <v>1142</v>
      </c>
    </row>
    <row r="14" spans="1:16">
      <c r="A14" s="1" t="s">
        <v>1</v>
      </c>
      <c r="B14" s="46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2">
        <f>SUM(B14:O14)</f>
        <v>44</v>
      </c>
    </row>
    <row r="15" spans="1:16">
      <c r="A15" s="7" t="s">
        <v>6</v>
      </c>
      <c r="B15" s="47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44</v>
      </c>
      <c r="P15" s="8">
        <f>P14-O15</f>
        <v>0</v>
      </c>
    </row>
    <row r="16" spans="1:16">
      <c r="A16" s="7" t="s">
        <v>68</v>
      </c>
      <c r="B16" s="47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8">
        <f>P13-O16</f>
        <v>0</v>
      </c>
    </row>
    <row r="17" spans="1:16">
      <c r="A17" s="7" t="s">
        <v>88</v>
      </c>
      <c r="B17" s="47"/>
      <c r="P17">
        <f>P4+P9+P14</f>
        <v>148</v>
      </c>
    </row>
    <row r="18" spans="1:16">
      <c r="A18" s="7" t="s">
        <v>89</v>
      </c>
      <c r="P18">
        <f>P3+P8+P13</f>
        <v>6634</v>
      </c>
    </row>
    <row r="20" spans="1:16" ht="15" thickBot="1"/>
    <row r="21" spans="1:16">
      <c r="C21" s="95" t="s">
        <v>82</v>
      </c>
      <c r="D21" s="96"/>
      <c r="E21" s="96"/>
      <c r="F21" s="96"/>
      <c r="G21" s="97"/>
    </row>
    <row r="22" spans="1:16" ht="15.5">
      <c r="A22" s="9"/>
      <c r="B22" s="69" t="s">
        <v>65</v>
      </c>
      <c r="C22" s="98" t="s">
        <v>7</v>
      </c>
      <c r="D22" s="49" t="s">
        <v>8</v>
      </c>
      <c r="E22" s="49" t="s">
        <v>9</v>
      </c>
      <c r="F22" s="49" t="s">
        <v>10</v>
      </c>
      <c r="G22" s="72" t="s">
        <v>5</v>
      </c>
    </row>
    <row r="23" spans="1:16" ht="15.5">
      <c r="A23" s="10" t="s">
        <v>14</v>
      </c>
      <c r="B23" s="70"/>
      <c r="C23" s="99"/>
      <c r="D23" s="10"/>
      <c r="E23" s="10"/>
      <c r="F23" s="10"/>
      <c r="G23" s="58"/>
    </row>
    <row r="24" spans="1:16" ht="16">
      <c r="A24" s="11" t="s">
        <v>11</v>
      </c>
      <c r="B24" s="71">
        <v>9</v>
      </c>
      <c r="C24" s="73">
        <v>0</v>
      </c>
      <c r="D24" s="73">
        <v>3</v>
      </c>
      <c r="E24" s="73">
        <v>0</v>
      </c>
      <c r="F24" s="73">
        <v>1</v>
      </c>
      <c r="G24" s="62">
        <f>SUM(C24:F24)</f>
        <v>4</v>
      </c>
    </row>
    <row r="25" spans="1:16" ht="16">
      <c r="A25" s="11" t="s">
        <v>12</v>
      </c>
      <c r="B25" s="71">
        <v>3</v>
      </c>
      <c r="C25" s="73">
        <v>0</v>
      </c>
      <c r="D25" s="73">
        <v>0</v>
      </c>
      <c r="E25" s="73">
        <v>0</v>
      </c>
      <c r="F25" s="73">
        <v>0</v>
      </c>
      <c r="G25" s="62">
        <f>SUM(C25:F25)</f>
        <v>0</v>
      </c>
    </row>
    <row r="26" spans="1:16" ht="16">
      <c r="A26" s="11" t="s">
        <v>13</v>
      </c>
      <c r="B26" s="71">
        <v>4</v>
      </c>
      <c r="C26" s="73">
        <v>0</v>
      </c>
      <c r="D26" s="73">
        <v>0</v>
      </c>
      <c r="E26" s="73">
        <v>0</v>
      </c>
      <c r="F26" s="73">
        <v>0</v>
      </c>
      <c r="G26" s="62">
        <f>SUM(C26:F26)</f>
        <v>0</v>
      </c>
    </row>
    <row r="29" spans="1:16">
      <c r="A29" s="75" t="s">
        <v>96</v>
      </c>
    </row>
    <row r="30" spans="1:16" ht="23">
      <c r="A30" s="75" t="s">
        <v>120</v>
      </c>
    </row>
    <row r="31" spans="1:16">
      <c r="A31" s="110" t="s">
        <v>115</v>
      </c>
    </row>
    <row r="32" spans="1:16">
      <c r="A32" s="110" t="s">
        <v>116</v>
      </c>
    </row>
    <row r="33" spans="1:1">
      <c r="A33" s="110" t="s">
        <v>117</v>
      </c>
    </row>
    <row r="34" spans="1:1" ht="23">
      <c r="A34" s="110" t="s">
        <v>118</v>
      </c>
    </row>
    <row r="36" spans="1:1">
      <c r="A36" s="76" t="s">
        <v>119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7"/>
  <sheetViews>
    <sheetView tabSelected="1" topLeftCell="A10" workbookViewId="0">
      <selection activeCell="C28" sqref="C28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5" width="11.1796875" bestFit="1" customWidth="1"/>
    <col min="18" max="18" width="12.1796875" bestFit="1" customWidth="1"/>
  </cols>
  <sheetData>
    <row r="1" spans="2:18" ht="28.5">
      <c r="I1" s="5" t="s">
        <v>49</v>
      </c>
    </row>
    <row r="3" spans="2:18">
      <c r="C3" s="6" t="s">
        <v>50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v>2</v>
      </c>
      <c r="Q10" s="2">
        <f>SUM(C10:P10)</f>
        <v>655</v>
      </c>
      <c r="R10">
        <f>Q5+Q10</f>
        <v>2355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v>75</v>
      </c>
      <c r="Q11" s="2">
        <f>SUM(C11:P11)</f>
        <v>96</v>
      </c>
    </row>
    <row r="12" spans="2:18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P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 t="shared" si="3"/>
        <v>655</v>
      </c>
      <c r="Q12" s="8">
        <f>Q10-P12</f>
        <v>0</v>
      </c>
    </row>
    <row r="13" spans="2:18">
      <c r="B13" s="7" t="s">
        <v>67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96</v>
      </c>
      <c r="Q13" s="2">
        <f>Q11-P13</f>
        <v>0</v>
      </c>
    </row>
    <row r="14" spans="2:18" s="15" customFormat="1">
      <c r="B14" s="108"/>
      <c r="D14" s="15">
        <f>D12*990</f>
        <v>31680</v>
      </c>
      <c r="E14" s="15">
        <f t="shared" ref="E14:O14" si="5">E12*990</f>
        <v>103950</v>
      </c>
      <c r="F14" s="15">
        <f t="shared" si="5"/>
        <v>129690</v>
      </c>
      <c r="G14" s="15">
        <f t="shared" si="5"/>
        <v>240570</v>
      </c>
      <c r="H14" s="15">
        <f t="shared" si="5"/>
        <v>270270</v>
      </c>
      <c r="I14" s="15">
        <f t="shared" si="5"/>
        <v>297990</v>
      </c>
      <c r="J14" s="15">
        <f t="shared" si="5"/>
        <v>348480</v>
      </c>
      <c r="K14" s="15">
        <f t="shared" si="5"/>
        <v>425700</v>
      </c>
      <c r="L14" s="15">
        <f t="shared" si="5"/>
        <v>445500</v>
      </c>
      <c r="M14" s="15">
        <f t="shared" si="5"/>
        <v>504900</v>
      </c>
      <c r="N14" s="15">
        <f t="shared" si="5"/>
        <v>504900</v>
      </c>
      <c r="O14" s="15">
        <f t="shared" si="5"/>
        <v>646470</v>
      </c>
      <c r="Q14" s="109"/>
      <c r="R14" s="15">
        <f>SUM(D14:O14)</f>
        <v>3950100</v>
      </c>
    </row>
    <row r="15" spans="2:18">
      <c r="B15" s="7"/>
      <c r="Q15" s="107"/>
    </row>
    <row r="16" spans="2:18">
      <c r="B16" s="7"/>
      <c r="Q16" s="107"/>
    </row>
    <row r="17" spans="2:15" ht="15" thickBot="1">
      <c r="D17" s="100" t="s">
        <v>82</v>
      </c>
      <c r="E17" s="100"/>
      <c r="F17" s="100"/>
      <c r="G17" s="100"/>
      <c r="H17" s="100"/>
    </row>
    <row r="18" spans="2:15" ht="14.5" customHeight="1">
      <c r="B18" s="54"/>
      <c r="C18" s="101" t="s">
        <v>90</v>
      </c>
      <c r="D18" s="101" t="s">
        <v>7</v>
      </c>
      <c r="E18" s="55" t="s">
        <v>8</v>
      </c>
      <c r="F18" s="55" t="s">
        <v>9</v>
      </c>
      <c r="G18" s="55" t="s">
        <v>10</v>
      </c>
      <c r="H18" s="56" t="s">
        <v>5</v>
      </c>
      <c r="O18">
        <f>O12+O7</f>
        <v>2353</v>
      </c>
    </row>
    <row r="19" spans="2:15" ht="15.5">
      <c r="B19" s="57" t="s">
        <v>14</v>
      </c>
      <c r="C19" s="102"/>
      <c r="D19" s="102"/>
      <c r="E19" s="10"/>
      <c r="F19" s="10"/>
      <c r="G19" s="10"/>
      <c r="H19" s="58"/>
    </row>
    <row r="20" spans="2:15" ht="15.5">
      <c r="B20" s="59" t="s">
        <v>11</v>
      </c>
      <c r="H20" s="60"/>
    </row>
    <row r="21" spans="2:15" ht="16">
      <c r="B21" s="61" t="s">
        <v>80</v>
      </c>
      <c r="C21" s="12">
        <v>5</v>
      </c>
      <c r="D21" s="12">
        <v>0</v>
      </c>
      <c r="E21" s="12">
        <v>0</v>
      </c>
      <c r="F21" s="12">
        <v>2</v>
      </c>
      <c r="G21" s="12">
        <v>0</v>
      </c>
      <c r="H21" s="62">
        <f>SUM(D21:G21)</f>
        <v>2</v>
      </c>
    </row>
    <row r="22" spans="2:15" ht="16">
      <c r="B22" s="61" t="s">
        <v>81</v>
      </c>
      <c r="C22" s="12">
        <v>143</v>
      </c>
      <c r="D22">
        <v>0</v>
      </c>
      <c r="E22">
        <v>0</v>
      </c>
      <c r="F22" s="131">
        <f>50+25</f>
        <v>75</v>
      </c>
      <c r="G22">
        <v>0</v>
      </c>
      <c r="H22" s="62">
        <f t="shared" ref="H22:H25" si="6">SUM(D22:G22)</f>
        <v>75</v>
      </c>
    </row>
    <row r="23" spans="2:15" ht="16">
      <c r="B23" s="59" t="s">
        <v>12</v>
      </c>
      <c r="H23" s="62">
        <f t="shared" si="6"/>
        <v>0</v>
      </c>
    </row>
    <row r="24" spans="2:15" ht="16">
      <c r="B24" s="61" t="s">
        <v>80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62">
        <f t="shared" si="6"/>
        <v>0</v>
      </c>
    </row>
    <row r="25" spans="2:15" ht="16">
      <c r="B25" s="61" t="s">
        <v>81</v>
      </c>
      <c r="C25" s="12">
        <v>55</v>
      </c>
      <c r="D25">
        <v>0</v>
      </c>
      <c r="E25">
        <v>0</v>
      </c>
      <c r="F25">
        <v>0</v>
      </c>
      <c r="G25">
        <v>0</v>
      </c>
      <c r="H25" s="62">
        <f t="shared" si="6"/>
        <v>0</v>
      </c>
    </row>
    <row r="26" spans="2:15">
      <c r="B26" s="63"/>
      <c r="H26" s="60"/>
    </row>
    <row r="27" spans="2:15" ht="15.5">
      <c r="B27" s="59" t="s">
        <v>5</v>
      </c>
      <c r="H27" s="60"/>
    </row>
    <row r="28" spans="2:15">
      <c r="B28" s="61" t="s">
        <v>80</v>
      </c>
      <c r="C28">
        <f>C21+C24</f>
        <v>5</v>
      </c>
      <c r="D28">
        <f>SUM(D21+D24)</f>
        <v>0</v>
      </c>
      <c r="E28">
        <f t="shared" ref="E28:G28" si="7">SUM(E21+E24)</f>
        <v>0</v>
      </c>
      <c r="F28">
        <f t="shared" si="7"/>
        <v>2</v>
      </c>
      <c r="G28">
        <f t="shared" si="7"/>
        <v>0</v>
      </c>
      <c r="H28" s="60">
        <f>SUM(D28:G28)</f>
        <v>2</v>
      </c>
    </row>
    <row r="29" spans="2:15" ht="15" thickBot="1">
      <c r="B29" s="64" t="s">
        <v>81</v>
      </c>
      <c r="C29" s="65">
        <f>C22+C25</f>
        <v>198</v>
      </c>
      <c r="D29" s="65">
        <f>D25+D22</f>
        <v>0</v>
      </c>
      <c r="E29" s="65">
        <f t="shared" ref="E29:G29" si="8">E25+E22</f>
        <v>0</v>
      </c>
      <c r="F29" s="65">
        <f t="shared" si="8"/>
        <v>75</v>
      </c>
      <c r="G29" s="65">
        <f t="shared" si="8"/>
        <v>0</v>
      </c>
      <c r="H29" s="66">
        <f>SUM(D29:G29)</f>
        <v>75</v>
      </c>
    </row>
    <row r="31" spans="2:15" ht="15" thickBot="1"/>
    <row r="32" spans="2:15">
      <c r="B32" s="75" t="s">
        <v>96</v>
      </c>
      <c r="H32" s="111" t="s">
        <v>124</v>
      </c>
      <c r="I32" s="112" t="s">
        <v>121</v>
      </c>
      <c r="J32" s="113" t="s">
        <v>122</v>
      </c>
    </row>
    <row r="33" spans="2:10" ht="130.5">
      <c r="B33" s="118" t="s">
        <v>125</v>
      </c>
      <c r="H33" s="114" t="s">
        <v>74</v>
      </c>
      <c r="I33" s="115"/>
      <c r="J33" s="60"/>
    </row>
    <row r="34" spans="2:10" ht="29">
      <c r="H34" s="116" t="s">
        <v>104</v>
      </c>
      <c r="I34" s="115" t="s">
        <v>109</v>
      </c>
      <c r="J34" s="60" t="s">
        <v>123</v>
      </c>
    </row>
    <row r="35" spans="2:10" ht="29">
      <c r="H35" s="116" t="s">
        <v>105</v>
      </c>
      <c r="I35" s="115" t="s">
        <v>109</v>
      </c>
      <c r="J35" s="60" t="s">
        <v>123</v>
      </c>
    </row>
    <row r="36" spans="2:10" ht="29">
      <c r="H36" s="116" t="s">
        <v>106</v>
      </c>
      <c r="I36" s="115" t="s">
        <v>109</v>
      </c>
      <c r="J36" s="60" t="s">
        <v>123</v>
      </c>
    </row>
    <row r="37" spans="2:10" ht="58">
      <c r="H37" s="116" t="s">
        <v>107</v>
      </c>
      <c r="I37" s="115" t="s">
        <v>109</v>
      </c>
      <c r="J37" s="60" t="s">
        <v>123</v>
      </c>
    </row>
    <row r="38" spans="2:10" ht="15" thickBot="1">
      <c r="H38" s="117" t="s">
        <v>108</v>
      </c>
      <c r="I38" s="65" t="s">
        <v>109</v>
      </c>
      <c r="J38" s="66" t="s">
        <v>123</v>
      </c>
    </row>
    <row r="39" spans="2:10">
      <c r="D39" s="48"/>
      <c r="H39" s="67"/>
    </row>
    <row r="40" spans="2:10" ht="15" thickBot="1"/>
    <row r="46" spans="2:10" ht="16">
      <c r="D46" s="77"/>
    </row>
    <row r="57" spans="4:4" ht="16">
      <c r="D57" s="77"/>
    </row>
  </sheetData>
  <mergeCells count="3">
    <mergeCell ref="D17:H17"/>
    <mergeCell ref="C18:C19"/>
    <mergeCell ref="D18:D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A1:L26"/>
  <sheetViews>
    <sheetView topLeftCell="A7" workbookViewId="0">
      <selection activeCell="I25" sqref="I25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1:12">
      <c r="C1" s="93" t="s">
        <v>102</v>
      </c>
      <c r="D1" s="94"/>
      <c r="E1" s="94"/>
      <c r="F1" s="94"/>
    </row>
    <row r="3" spans="1:12">
      <c r="C3" s="15" t="s">
        <v>15</v>
      </c>
      <c r="F3" s="14" t="s">
        <v>16</v>
      </c>
      <c r="I3" t="s">
        <v>72</v>
      </c>
    </row>
    <row r="4" spans="1:12">
      <c r="A4" s="122"/>
      <c r="B4" s="122"/>
      <c r="C4" s="123"/>
      <c r="D4" s="122"/>
      <c r="E4" s="122"/>
      <c r="F4" s="124"/>
      <c r="G4" s="122"/>
      <c r="H4" s="122"/>
      <c r="I4" t="s">
        <v>71</v>
      </c>
      <c r="J4" s="16">
        <f>F8/C8</f>
        <v>1.0739324453443606</v>
      </c>
    </row>
    <row r="5" spans="1:12">
      <c r="A5" s="122"/>
      <c r="B5" s="122" t="s">
        <v>17</v>
      </c>
      <c r="C5" s="125">
        <v>26866743.333333336</v>
      </c>
      <c r="D5" s="126">
        <f>C5/$C$8</f>
        <v>0.67870031450007084</v>
      </c>
      <c r="E5" s="126"/>
      <c r="F5" s="123">
        <v>25541542.359999999</v>
      </c>
      <c r="G5" s="126">
        <f>F5/F8</f>
        <v>0.60080450415931608</v>
      </c>
      <c r="H5" s="122"/>
      <c r="I5" t="s">
        <v>17</v>
      </c>
      <c r="J5" s="16">
        <f>F5/C5</f>
        <v>0.95067504249057344</v>
      </c>
    </row>
    <row r="6" spans="1:12">
      <c r="A6" s="122"/>
      <c r="B6" s="122" t="s">
        <v>18</v>
      </c>
      <c r="C6" s="123">
        <v>12718833.333333332</v>
      </c>
      <c r="D6" s="126">
        <f>C6/$C$8</f>
        <v>0.32129968549992904</v>
      </c>
      <c r="E6" s="126"/>
      <c r="F6" s="123">
        <v>16970692.789999999</v>
      </c>
      <c r="G6" s="126">
        <f>F6/F8</f>
        <v>0.39919549584068387</v>
      </c>
      <c r="H6" s="122"/>
      <c r="I6" t="s">
        <v>18</v>
      </c>
      <c r="J6" s="16">
        <f>F6/C6</f>
        <v>1.3342963419076699</v>
      </c>
    </row>
    <row r="7" spans="1:12">
      <c r="A7" s="122"/>
      <c r="B7" s="122"/>
      <c r="C7" s="123"/>
      <c r="D7" s="122"/>
      <c r="E7" s="122"/>
      <c r="F7" s="122"/>
      <c r="G7" s="122"/>
      <c r="H7" s="122"/>
    </row>
    <row r="8" spans="1:12">
      <c r="A8" s="122"/>
      <c r="B8" s="122" t="s">
        <v>5</v>
      </c>
      <c r="C8" s="123">
        <f>SUM(C5:C7)</f>
        <v>39585576.666666672</v>
      </c>
      <c r="D8" s="122"/>
      <c r="E8" s="122"/>
      <c r="F8" s="120">
        <f>SUM(F5:F7)</f>
        <v>42512235.149999999</v>
      </c>
      <c r="G8" s="122"/>
      <c r="H8" s="122"/>
    </row>
    <row r="9" spans="1:12">
      <c r="A9" s="122"/>
      <c r="B9" s="122"/>
      <c r="C9" s="123"/>
      <c r="D9" s="122"/>
      <c r="E9" s="122"/>
      <c r="F9" s="122"/>
      <c r="G9" s="122"/>
      <c r="H9" s="122"/>
    </row>
    <row r="10" spans="1:12">
      <c r="A10" s="122"/>
      <c r="B10" s="122"/>
      <c r="C10" s="127" t="s">
        <v>99</v>
      </c>
      <c r="D10" s="127"/>
      <c r="E10" s="127"/>
      <c r="F10" s="127"/>
      <c r="G10" s="122"/>
      <c r="H10" s="122"/>
    </row>
    <row r="11" spans="1:12">
      <c r="A11" s="122"/>
      <c r="B11" s="122"/>
      <c r="C11" s="123"/>
      <c r="D11" s="122"/>
      <c r="E11" s="122"/>
      <c r="F11" s="122"/>
      <c r="G11" s="122"/>
      <c r="H11" s="122"/>
    </row>
    <row r="12" spans="1:12">
      <c r="A12" s="122"/>
      <c r="B12" s="122"/>
      <c r="C12" s="128" t="s">
        <v>100</v>
      </c>
      <c r="D12" s="122"/>
      <c r="E12" s="122"/>
      <c r="F12" s="129" t="s">
        <v>101</v>
      </c>
      <c r="G12" s="122"/>
      <c r="H12" s="122"/>
      <c r="I12" t="s">
        <v>73</v>
      </c>
    </row>
    <row r="13" spans="1:12">
      <c r="A13" s="122"/>
      <c r="B13" s="122"/>
      <c r="C13" s="123"/>
      <c r="D13" s="122"/>
      <c r="E13" s="122"/>
      <c r="F13" s="124"/>
      <c r="G13" s="122"/>
      <c r="H13" s="122"/>
      <c r="I13" t="s">
        <v>71</v>
      </c>
      <c r="J13" s="16">
        <f>F17/C17-1</f>
        <v>0.59521054933317763</v>
      </c>
      <c r="L13" s="17"/>
    </row>
    <row r="14" spans="1:12">
      <c r="A14" s="122"/>
      <c r="B14" s="122" t="s">
        <v>17</v>
      </c>
      <c r="C14" s="123">
        <v>17011955.129999999</v>
      </c>
      <c r="D14" s="126">
        <f>C14/C17</f>
        <v>0.63834917624082321</v>
      </c>
      <c r="E14" s="126"/>
      <c r="F14" s="123">
        <v>25541542.359999999</v>
      </c>
      <c r="G14" s="126">
        <f>F14/F17</f>
        <v>0.60080450415931608</v>
      </c>
      <c r="H14" s="122"/>
      <c r="I14" t="s">
        <v>17</v>
      </c>
      <c r="J14" s="16">
        <f>F14/C14-1</f>
        <v>0.50138782784339497</v>
      </c>
    </row>
    <row r="15" spans="1:12">
      <c r="A15" s="122"/>
      <c r="B15" s="122" t="s">
        <v>18</v>
      </c>
      <c r="C15" s="123">
        <v>9637965.8900000006</v>
      </c>
      <c r="D15" s="126">
        <f>C15/C17</f>
        <v>0.36165082375917679</v>
      </c>
      <c r="E15" s="126"/>
      <c r="F15" s="123">
        <v>16970692.789999999</v>
      </c>
      <c r="G15" s="126">
        <f>F15/F17</f>
        <v>0.39919549584068387</v>
      </c>
      <c r="H15" s="122"/>
      <c r="I15" t="s">
        <v>18</v>
      </c>
      <c r="J15" s="16">
        <f>F15/C15-1</f>
        <v>0.76081685530845955</v>
      </c>
    </row>
    <row r="16" spans="1:12">
      <c r="A16" s="122"/>
      <c r="B16" s="122"/>
      <c r="C16" s="123"/>
      <c r="D16" s="122"/>
      <c r="E16" s="122"/>
      <c r="F16" s="122"/>
      <c r="G16" s="122"/>
      <c r="H16" s="122"/>
    </row>
    <row r="17" spans="1:10">
      <c r="A17" s="122"/>
      <c r="B17" s="122" t="s">
        <v>5</v>
      </c>
      <c r="C17" s="123">
        <f>SUM(C14:C16)</f>
        <v>26649921.02</v>
      </c>
      <c r="D17" s="122"/>
      <c r="E17" s="122"/>
      <c r="F17" s="120">
        <f>SUM(F14:F16)</f>
        <v>42512235.149999999</v>
      </c>
      <c r="G17" s="122"/>
      <c r="H17" s="122"/>
    </row>
    <row r="19" spans="1:10">
      <c r="C19" s="94" t="s">
        <v>97</v>
      </c>
      <c r="D19" s="94"/>
      <c r="E19" s="94"/>
      <c r="F19" s="94"/>
    </row>
    <row r="21" spans="1:10">
      <c r="C21" s="18" t="s">
        <v>19</v>
      </c>
      <c r="F21" s="19" t="s">
        <v>20</v>
      </c>
      <c r="I21" t="s">
        <v>73</v>
      </c>
    </row>
    <row r="22" spans="1:10">
      <c r="F22" s="14"/>
      <c r="I22" t="s">
        <v>71</v>
      </c>
      <c r="J22" s="16">
        <f>F26/C26-1</f>
        <v>0.14412756618580391</v>
      </c>
    </row>
    <row r="23" spans="1:10">
      <c r="B23" t="s">
        <v>98</v>
      </c>
      <c r="C23" s="92">
        <v>45740209</v>
      </c>
      <c r="D23" s="16"/>
      <c r="E23" s="16"/>
      <c r="F23" s="130">
        <v>52332634</v>
      </c>
      <c r="G23" s="16"/>
      <c r="J23" s="16"/>
    </row>
    <row r="24" spans="1:10">
      <c r="D24" s="16"/>
      <c r="E24" s="16"/>
      <c r="F24" s="15"/>
      <c r="G24" s="16"/>
      <c r="J24" s="16"/>
    </row>
    <row r="26" spans="1:10">
      <c r="B26" t="s">
        <v>5</v>
      </c>
      <c r="C26" s="15">
        <f>SUM(C23:C25)</f>
        <v>45740209</v>
      </c>
      <c r="F26" s="17">
        <f>SUM(F23:F25)</f>
        <v>52332634</v>
      </c>
      <c r="I26" s="16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opLeftCell="A3" workbookViewId="0">
      <selection activeCell="C16" sqref="C16:C18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6" max="6" width="9.6328125" bestFit="1" customWidth="1"/>
    <col min="8" max="8" width="14.81640625" bestFit="1" customWidth="1"/>
  </cols>
  <sheetData>
    <row r="2" spans="2:8" ht="15" thickBot="1"/>
    <row r="3" spans="2:8" ht="21.5" thickBot="1">
      <c r="B3" s="20" t="s">
        <v>64</v>
      </c>
      <c r="C3" s="21"/>
      <c r="D3" s="22"/>
      <c r="E3" s="22"/>
    </row>
    <row r="4" spans="2:8" ht="19" thickBot="1">
      <c r="B4" s="23"/>
      <c r="C4" s="103" t="s">
        <v>65</v>
      </c>
      <c r="D4" s="104"/>
      <c r="E4" s="104"/>
    </row>
    <row r="5" spans="2:8" ht="15" thickBot="1">
      <c r="B5" s="24"/>
      <c r="C5" s="25"/>
      <c r="D5" s="26"/>
      <c r="E5" s="26"/>
    </row>
    <row r="6" spans="2:8" ht="15" thickBot="1">
      <c r="C6" s="28" t="s">
        <v>15</v>
      </c>
      <c r="D6" s="105" t="s">
        <v>22</v>
      </c>
      <c r="E6" s="105"/>
      <c r="F6" s="105"/>
      <c r="G6" s="105"/>
      <c r="H6" s="28" t="s">
        <v>87</v>
      </c>
    </row>
    <row r="7" spans="2:8" ht="16.5" thickBot="1">
      <c r="B7" s="27" t="s">
        <v>21</v>
      </c>
      <c r="C7" s="30"/>
      <c r="D7" s="32" t="s">
        <v>83</v>
      </c>
      <c r="E7" s="32" t="s">
        <v>84</v>
      </c>
      <c r="F7" s="32" t="s">
        <v>85</v>
      </c>
      <c r="G7" s="32" t="s">
        <v>86</v>
      </c>
    </row>
    <row r="8" spans="2:8">
      <c r="B8" s="29" t="s">
        <v>24</v>
      </c>
      <c r="C8" s="30">
        <f>Inflow!C32</f>
        <v>15385400</v>
      </c>
      <c r="D8" s="31">
        <f>Inflow!E32</f>
        <v>0</v>
      </c>
      <c r="E8" s="31">
        <f>Inflow!F32</f>
        <v>70000</v>
      </c>
      <c r="F8" s="31">
        <f>Inflow!G32</f>
        <v>40000</v>
      </c>
      <c r="G8" s="31">
        <f>Inflow!H32</f>
        <v>0</v>
      </c>
      <c r="H8" s="17">
        <f>C8-SUM(D8:G8)</f>
        <v>15275400</v>
      </c>
    </row>
    <row r="9" spans="2:8">
      <c r="B9" s="29" t="s">
        <v>25</v>
      </c>
      <c r="C9" s="30">
        <f>Inflow!C33</f>
        <v>11000000</v>
      </c>
      <c r="D9" s="30">
        <f>Inflow!E33</f>
        <v>355520</v>
      </c>
      <c r="E9" s="30">
        <f>Inflow!F33</f>
        <v>607764</v>
      </c>
      <c r="F9" s="30">
        <f>Inflow!G33</f>
        <v>2608847</v>
      </c>
      <c r="G9" s="30">
        <f>Inflow!H33</f>
        <v>0</v>
      </c>
      <c r="H9" s="17">
        <f t="shared" ref="H9:H10" si="0">C9-SUM(D9:G9)</f>
        <v>7427869</v>
      </c>
    </row>
    <row r="10" spans="2:8">
      <c r="B10" s="29" t="s">
        <v>29</v>
      </c>
      <c r="C10" s="30">
        <f>Inflow!C35</f>
        <v>500000</v>
      </c>
      <c r="D10" s="30">
        <f>Inflow!E35</f>
        <v>0</v>
      </c>
      <c r="E10" s="30">
        <f>Inflow!F35</f>
        <v>34880</v>
      </c>
      <c r="F10" s="30">
        <f>Inflow!G35</f>
        <v>0</v>
      </c>
      <c r="G10" s="30">
        <f>Inflow!H35</f>
        <v>0</v>
      </c>
      <c r="H10" s="17">
        <f t="shared" si="0"/>
        <v>465120</v>
      </c>
    </row>
    <row r="11" spans="2:8" ht="15" thickBot="1">
      <c r="B11" s="29" t="s">
        <v>58</v>
      </c>
      <c r="C11" s="52">
        <f t="shared" ref="C11:H11" si="1">SUM(C8:C10)</f>
        <v>26885400</v>
      </c>
      <c r="D11" s="52">
        <f t="shared" si="1"/>
        <v>355520</v>
      </c>
      <c r="E11" s="52">
        <f t="shared" si="1"/>
        <v>712644</v>
      </c>
      <c r="F11" s="52">
        <f t="shared" si="1"/>
        <v>2648847</v>
      </c>
      <c r="G11" s="52">
        <f t="shared" si="1"/>
        <v>0</v>
      </c>
      <c r="H11" s="52">
        <f t="shared" si="1"/>
        <v>23168389</v>
      </c>
    </row>
    <row r="12" spans="2:8" ht="16.5" thickBot="1">
      <c r="B12" s="27" t="s">
        <v>26</v>
      </c>
      <c r="C12" s="30"/>
      <c r="D12" s="32"/>
      <c r="E12" s="32"/>
      <c r="H12" s="15">
        <v>19500000</v>
      </c>
    </row>
    <row r="13" spans="2:8">
      <c r="B13" s="29"/>
      <c r="C13" s="30"/>
      <c r="D13" s="32"/>
      <c r="E13" s="32"/>
    </row>
    <row r="14" spans="2:8" ht="15" thickBot="1">
      <c r="B14" s="38"/>
      <c r="C14" s="30"/>
      <c r="D14" s="32"/>
      <c r="E14" s="32"/>
    </row>
    <row r="15" spans="2:8" ht="15" thickBot="1">
      <c r="B15" s="29" t="s">
        <v>27</v>
      </c>
      <c r="C15" s="30"/>
      <c r="D15" s="32"/>
      <c r="E15" s="32"/>
      <c r="H15" s="74">
        <f>SUM(C16:C18)</f>
        <v>4253452</v>
      </c>
    </row>
    <row r="16" spans="2:8" ht="15" thickBot="1">
      <c r="B16" s="36" t="s">
        <v>31</v>
      </c>
      <c r="C16" s="132">
        <v>2509661</v>
      </c>
    </row>
    <row r="17" spans="2:8" ht="15" thickBot="1">
      <c r="B17" s="36" t="s">
        <v>30</v>
      </c>
      <c r="C17" s="132">
        <v>783931</v>
      </c>
    </row>
    <row r="18" spans="2:8" ht="15" thickBot="1">
      <c r="B18" s="36" t="s">
        <v>32</v>
      </c>
      <c r="C18" s="133">
        <v>959860</v>
      </c>
    </row>
    <row r="20" spans="2:8">
      <c r="B20" s="33" t="s">
        <v>75</v>
      </c>
      <c r="H20" s="74">
        <f>H11+H15-H12</f>
        <v>7921841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9" workbookViewId="0">
      <selection activeCell="F38" sqref="F38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0" t="s">
        <v>70</v>
      </c>
      <c r="C4" s="21"/>
      <c r="D4" s="41"/>
      <c r="E4" s="22"/>
      <c r="F4" s="22"/>
      <c r="G4" s="22"/>
      <c r="H4" s="22"/>
      <c r="I4" s="22"/>
    </row>
    <row r="5" spans="2:10" ht="19" thickBot="1">
      <c r="B5" s="23"/>
      <c r="C5" s="103" t="s">
        <v>103</v>
      </c>
      <c r="D5" s="104"/>
      <c r="E5" s="104"/>
      <c r="F5" s="104"/>
      <c r="G5" s="50"/>
      <c r="H5" s="50"/>
      <c r="I5" s="50"/>
    </row>
    <row r="6" spans="2:10" ht="15" thickBot="1">
      <c r="B6" s="24"/>
      <c r="C6" s="25"/>
      <c r="D6" s="25"/>
      <c r="E6" s="106" t="s">
        <v>57</v>
      </c>
      <c r="F6" s="106"/>
      <c r="G6" s="106"/>
      <c r="H6" s="51"/>
      <c r="I6" s="51"/>
      <c r="J6" s="51"/>
    </row>
    <row r="7" spans="2:10" ht="38" customHeight="1">
      <c r="B7" s="78" t="s">
        <v>21</v>
      </c>
      <c r="C7" s="79" t="s">
        <v>15</v>
      </c>
      <c r="D7" s="79"/>
      <c r="E7" s="80" t="s">
        <v>22</v>
      </c>
      <c r="F7" s="80"/>
      <c r="G7" s="80"/>
      <c r="H7" s="80"/>
      <c r="I7" s="81" t="s">
        <v>23</v>
      </c>
      <c r="J7" s="81" t="s">
        <v>58</v>
      </c>
    </row>
    <row r="8" spans="2:10">
      <c r="B8" s="82" t="s">
        <v>60</v>
      </c>
      <c r="C8" s="83"/>
      <c r="D8" s="83"/>
      <c r="E8" s="84" t="s">
        <v>83</v>
      </c>
      <c r="F8" s="84" t="s">
        <v>84</v>
      </c>
      <c r="G8" s="84" t="s">
        <v>85</v>
      </c>
      <c r="H8" s="84" t="s">
        <v>86</v>
      </c>
      <c r="I8" s="84"/>
      <c r="J8" s="85"/>
    </row>
    <row r="9" spans="2:10">
      <c r="B9" s="82" t="s">
        <v>28</v>
      </c>
      <c r="C9" s="83"/>
      <c r="D9" s="83"/>
      <c r="E9" s="84"/>
      <c r="F9" s="84"/>
      <c r="G9" s="84"/>
      <c r="H9" s="84"/>
      <c r="I9" s="84"/>
      <c r="J9" s="85"/>
    </row>
    <row r="10" spans="2:10">
      <c r="B10" s="86" t="s">
        <v>91</v>
      </c>
      <c r="C10" s="87">
        <v>1800000</v>
      </c>
      <c r="D10" s="83"/>
      <c r="E10" s="39"/>
      <c r="F10" s="39"/>
      <c r="G10" s="39"/>
      <c r="H10" s="39"/>
      <c r="I10" s="84">
        <f>C10-SUM(E10:H10)</f>
        <v>1800000</v>
      </c>
      <c r="J10" s="85"/>
    </row>
    <row r="11" spans="2:10">
      <c r="B11" s="88" t="s">
        <v>92</v>
      </c>
      <c r="C11" s="87">
        <v>1000000</v>
      </c>
      <c r="D11" s="85"/>
      <c r="E11" s="85"/>
      <c r="F11" s="85"/>
      <c r="G11" s="85"/>
      <c r="H11" s="85"/>
      <c r="I11" s="84">
        <f t="shared" ref="I11:I39" si="0">C11-SUM(E11:H11)</f>
        <v>1000000</v>
      </c>
      <c r="J11" s="85"/>
    </row>
    <row r="12" spans="2:10">
      <c r="B12" s="86" t="s">
        <v>94</v>
      </c>
      <c r="C12" s="87">
        <v>825000</v>
      </c>
      <c r="D12" s="83"/>
      <c r="E12" s="39"/>
      <c r="F12" s="39"/>
      <c r="G12" s="39"/>
      <c r="H12" s="39"/>
      <c r="I12" s="84">
        <f t="shared" si="0"/>
        <v>825000</v>
      </c>
      <c r="J12" s="85"/>
    </row>
    <row r="13" spans="2:10">
      <c r="B13" s="86" t="s">
        <v>51</v>
      </c>
      <c r="C13" s="87">
        <v>680400</v>
      </c>
      <c r="D13" s="83"/>
      <c r="E13" s="84"/>
      <c r="F13" s="84"/>
      <c r="G13" s="84"/>
      <c r="H13" s="84"/>
      <c r="I13" s="84">
        <f t="shared" si="0"/>
        <v>680400</v>
      </c>
      <c r="J13" s="85"/>
    </row>
    <row r="14" spans="2:10">
      <c r="B14" s="88" t="s">
        <v>52</v>
      </c>
      <c r="C14" s="87">
        <v>1080000</v>
      </c>
      <c r="D14" s="83"/>
      <c r="E14" s="84"/>
      <c r="F14" s="84"/>
      <c r="G14" s="84"/>
      <c r="H14" s="84"/>
      <c r="I14" s="84">
        <f t="shared" si="0"/>
        <v>1080000</v>
      </c>
      <c r="J14" s="85"/>
    </row>
    <row r="15" spans="2:10">
      <c r="B15" s="88" t="s">
        <v>110</v>
      </c>
      <c r="C15" s="87">
        <v>700000</v>
      </c>
      <c r="D15" s="83"/>
      <c r="E15" s="84"/>
      <c r="F15" s="84"/>
      <c r="G15" s="84"/>
      <c r="H15" s="84"/>
      <c r="I15" s="84">
        <f t="shared" si="0"/>
        <v>700000</v>
      </c>
      <c r="J15" s="85"/>
    </row>
    <row r="16" spans="2:10">
      <c r="B16" s="86" t="s">
        <v>111</v>
      </c>
      <c r="C16" s="87">
        <v>800000</v>
      </c>
      <c r="D16" s="83"/>
      <c r="E16" s="84"/>
      <c r="F16" s="84"/>
      <c r="G16" s="84"/>
      <c r="H16" s="84"/>
      <c r="I16" s="84">
        <f t="shared" si="0"/>
        <v>800000</v>
      </c>
      <c r="J16" s="85"/>
    </row>
    <row r="17" spans="2:10">
      <c r="B17" s="86"/>
      <c r="C17" s="85"/>
      <c r="D17" s="85"/>
      <c r="E17" s="85"/>
      <c r="F17" s="85"/>
      <c r="G17" s="85"/>
      <c r="H17" s="85"/>
      <c r="I17" s="84">
        <f t="shared" si="0"/>
        <v>0</v>
      </c>
      <c r="J17" s="85"/>
    </row>
    <row r="18" spans="2:10">
      <c r="B18" s="86" t="s">
        <v>93</v>
      </c>
      <c r="C18" s="87">
        <v>750000</v>
      </c>
      <c r="D18" s="83"/>
      <c r="E18" s="39"/>
      <c r="F18" s="39"/>
      <c r="G18" s="39"/>
      <c r="H18" s="39"/>
      <c r="I18" s="84">
        <f>C18-SUM(E18:H18)</f>
        <v>750000</v>
      </c>
      <c r="J18" s="85"/>
    </row>
    <row r="19" spans="2:10">
      <c r="B19" s="86" t="s">
        <v>55</v>
      </c>
      <c r="C19" s="87">
        <v>5000000</v>
      </c>
      <c r="D19" s="89"/>
      <c r="E19" s="84"/>
      <c r="F19" s="84"/>
      <c r="G19" s="84"/>
      <c r="H19" s="84"/>
      <c r="I19" s="84">
        <f t="shared" si="0"/>
        <v>5000000</v>
      </c>
      <c r="J19" s="85"/>
    </row>
    <row r="20" spans="2:10">
      <c r="B20" s="86" t="s">
        <v>112</v>
      </c>
      <c r="C20" s="87">
        <v>1750000</v>
      </c>
      <c r="D20" s="89"/>
      <c r="E20" s="84"/>
      <c r="F20" s="84"/>
      <c r="G20" s="84"/>
      <c r="H20" s="84"/>
      <c r="I20" s="84">
        <f t="shared" si="0"/>
        <v>1750000</v>
      </c>
      <c r="J20" s="85"/>
    </row>
    <row r="21" spans="2:10">
      <c r="B21" s="40"/>
      <c r="C21" s="85"/>
      <c r="D21" s="85"/>
      <c r="E21" s="85"/>
      <c r="F21" s="85"/>
      <c r="G21" s="85"/>
      <c r="H21" s="85"/>
      <c r="I21" s="84">
        <f t="shared" si="0"/>
        <v>0</v>
      </c>
      <c r="J21" s="85"/>
    </row>
    <row r="22" spans="2:10">
      <c r="B22" s="82" t="s">
        <v>53</v>
      </c>
      <c r="C22" s="83">
        <f t="shared" ref="C22" si="1">L22+N22</f>
        <v>0</v>
      </c>
      <c r="D22" s="83"/>
      <c r="E22" s="84"/>
      <c r="F22" s="84"/>
      <c r="G22" s="84"/>
      <c r="H22" s="84"/>
      <c r="I22" s="84">
        <f t="shared" si="0"/>
        <v>0</v>
      </c>
      <c r="J22" s="85"/>
    </row>
    <row r="23" spans="2:10">
      <c r="B23" s="88" t="s">
        <v>54</v>
      </c>
      <c r="C23" s="87">
        <v>300000</v>
      </c>
      <c r="D23" s="83"/>
      <c r="E23" s="39"/>
      <c r="F23" s="39"/>
      <c r="G23" s="39"/>
      <c r="H23" s="39"/>
      <c r="I23" s="84">
        <f t="shared" si="0"/>
        <v>300000</v>
      </c>
      <c r="J23" s="85"/>
    </row>
    <row r="24" spans="2:10">
      <c r="B24" s="88" t="s">
        <v>95</v>
      </c>
      <c r="C24" s="87">
        <v>150000</v>
      </c>
      <c r="D24" s="83"/>
      <c r="E24" s="39"/>
      <c r="F24" s="39"/>
      <c r="G24" s="39"/>
      <c r="H24" s="39"/>
      <c r="I24" s="84">
        <f t="shared" si="0"/>
        <v>150000</v>
      </c>
      <c r="J24" s="85"/>
    </row>
    <row r="25" spans="2:10">
      <c r="B25" s="86" t="s">
        <v>113</v>
      </c>
      <c r="C25" s="87">
        <v>400000</v>
      </c>
      <c r="D25" s="83"/>
      <c r="E25" s="39"/>
      <c r="F25" s="39"/>
      <c r="G25" s="39"/>
      <c r="H25" s="39"/>
      <c r="I25" s="84">
        <f t="shared" si="0"/>
        <v>400000</v>
      </c>
      <c r="J25" s="85"/>
    </row>
    <row r="26" spans="2:10">
      <c r="B26" s="86" t="s">
        <v>114</v>
      </c>
      <c r="C26" s="87">
        <v>50000</v>
      </c>
      <c r="D26" s="83"/>
      <c r="E26" s="39"/>
      <c r="F26" s="83">
        <v>50000</v>
      </c>
      <c r="G26" s="39"/>
      <c r="H26" s="39"/>
      <c r="I26" s="84">
        <f t="shared" si="0"/>
        <v>0</v>
      </c>
      <c r="J26" s="85"/>
    </row>
    <row r="27" spans="2:10">
      <c r="B27" s="86"/>
      <c r="C27" s="87"/>
      <c r="D27" s="83"/>
      <c r="E27" s="39"/>
      <c r="F27" s="39"/>
      <c r="G27" s="39"/>
      <c r="H27" s="39"/>
      <c r="I27" s="84">
        <f t="shared" si="0"/>
        <v>0</v>
      </c>
      <c r="J27" s="85"/>
    </row>
    <row r="28" spans="2:10">
      <c r="B28" s="86"/>
      <c r="C28" s="87"/>
      <c r="D28" s="83"/>
      <c r="E28" s="84"/>
      <c r="F28" s="84"/>
      <c r="G28" s="84"/>
      <c r="H28" s="84"/>
      <c r="I28" s="84">
        <f t="shared" si="0"/>
        <v>0</v>
      </c>
      <c r="J28" s="85"/>
    </row>
    <row r="29" spans="2:10">
      <c r="B29" s="82"/>
      <c r="C29" s="83"/>
      <c r="D29" s="83"/>
      <c r="E29" s="84"/>
      <c r="F29" s="84"/>
      <c r="G29" s="84"/>
      <c r="H29" s="84"/>
      <c r="I29" s="84">
        <f t="shared" si="0"/>
        <v>0</v>
      </c>
      <c r="J29" s="85"/>
    </row>
    <row r="30" spans="2:10">
      <c r="B30" s="90" t="s">
        <v>56</v>
      </c>
      <c r="C30" s="83">
        <v>100000</v>
      </c>
      <c r="D30" s="83"/>
      <c r="E30" s="83">
        <v>0</v>
      </c>
      <c r="F30" s="83">
        <v>20000</v>
      </c>
      <c r="G30" s="83">
        <v>40000</v>
      </c>
      <c r="H30" s="83"/>
      <c r="I30" s="84">
        <f t="shared" si="0"/>
        <v>40000</v>
      </c>
      <c r="J30" s="85"/>
    </row>
    <row r="31" spans="2:10">
      <c r="B31" s="82"/>
      <c r="C31" s="83"/>
      <c r="D31" s="83"/>
      <c r="E31" s="83"/>
      <c r="F31" s="83"/>
      <c r="G31" s="83"/>
      <c r="H31" s="83"/>
      <c r="I31" s="84">
        <f t="shared" si="0"/>
        <v>0</v>
      </c>
      <c r="J31" s="85"/>
    </row>
    <row r="32" spans="2:10">
      <c r="B32" s="82" t="s">
        <v>63</v>
      </c>
      <c r="C32" s="83">
        <f>SUM(C10:C30)</f>
        <v>15385400</v>
      </c>
      <c r="D32" s="83">
        <f t="shared" ref="D32:H32" si="2">SUM(D12:D30)</f>
        <v>0</v>
      </c>
      <c r="E32" s="83">
        <f t="shared" si="2"/>
        <v>0</v>
      </c>
      <c r="F32" s="83">
        <f t="shared" si="2"/>
        <v>70000</v>
      </c>
      <c r="G32" s="83">
        <f t="shared" si="2"/>
        <v>40000</v>
      </c>
      <c r="H32" s="83">
        <f t="shared" si="2"/>
        <v>0</v>
      </c>
      <c r="I32" s="84">
        <f t="shared" si="0"/>
        <v>15275400</v>
      </c>
      <c r="J32" s="91">
        <f>I32+SUM(E32:H32)</f>
        <v>15385400</v>
      </c>
    </row>
    <row r="33" spans="2:10">
      <c r="B33" s="34" t="s">
        <v>61</v>
      </c>
      <c r="C33" s="119">
        <f>11000000</f>
        <v>11000000</v>
      </c>
      <c r="D33" s="42"/>
      <c r="E33" s="120">
        <v>355520</v>
      </c>
      <c r="F33" s="121">
        <v>607764</v>
      </c>
      <c r="G33" s="121">
        <f>3444773+127358-F33-E33</f>
        <v>2608847</v>
      </c>
      <c r="H33" s="68"/>
      <c r="I33" s="84">
        <f t="shared" si="0"/>
        <v>7427869</v>
      </c>
      <c r="J33" s="91">
        <f t="shared" ref="J33:J35" si="3">I33+SUM(E33:H33)</f>
        <v>11000000</v>
      </c>
    </row>
    <row r="34" spans="2:10">
      <c r="B34" s="43"/>
      <c r="C34" s="42"/>
      <c r="D34" s="42"/>
      <c r="E34" s="35"/>
      <c r="F34" s="35"/>
      <c r="G34" s="35"/>
      <c r="H34" s="35"/>
      <c r="I34" s="84">
        <f t="shared" si="0"/>
        <v>0</v>
      </c>
      <c r="J34" s="91">
        <f t="shared" si="3"/>
        <v>0</v>
      </c>
    </row>
    <row r="35" spans="2:10">
      <c r="B35" s="43" t="s">
        <v>62</v>
      </c>
      <c r="C35" s="42">
        <v>500000</v>
      </c>
      <c r="D35" s="42"/>
      <c r="E35" s="35">
        <v>0</v>
      </c>
      <c r="F35" s="35">
        <v>34880</v>
      </c>
      <c r="G35" s="35"/>
      <c r="H35" s="30"/>
      <c r="I35" s="84">
        <f t="shared" si="0"/>
        <v>465120</v>
      </c>
      <c r="J35" s="91">
        <f t="shared" si="3"/>
        <v>500000</v>
      </c>
    </row>
    <row r="36" spans="2:10">
      <c r="B36" s="43"/>
      <c r="C36" s="42"/>
      <c r="D36" s="42"/>
      <c r="E36" s="35"/>
      <c r="F36" s="35"/>
      <c r="G36" s="35"/>
      <c r="H36" s="35"/>
      <c r="I36" s="84">
        <f t="shared" si="0"/>
        <v>0</v>
      </c>
      <c r="J36" s="17"/>
    </row>
    <row r="37" spans="2:10">
      <c r="E37" s="17"/>
      <c r="I37" s="84">
        <f t="shared" si="0"/>
        <v>0</v>
      </c>
    </row>
    <row r="38" spans="2:10">
      <c r="I38" s="84">
        <f t="shared" si="0"/>
        <v>0</v>
      </c>
    </row>
    <row r="39" spans="2:10">
      <c r="B39" t="s">
        <v>59</v>
      </c>
      <c r="C39" s="17">
        <f>C32+C33+C35</f>
        <v>26885400</v>
      </c>
      <c r="D39" s="17">
        <f t="shared" ref="D39:H39" si="4">D32+D33+D35</f>
        <v>0</v>
      </c>
      <c r="E39" s="17">
        <f t="shared" si="4"/>
        <v>355520</v>
      </c>
      <c r="F39" s="17">
        <f t="shared" si="4"/>
        <v>712644</v>
      </c>
      <c r="G39" s="17">
        <f t="shared" si="4"/>
        <v>2648847</v>
      </c>
      <c r="H39" s="17">
        <f t="shared" si="4"/>
        <v>0</v>
      </c>
      <c r="I39" s="84">
        <f t="shared" si="0"/>
        <v>23168389</v>
      </c>
      <c r="J39" s="91">
        <f t="shared" ref="J39" si="5">I39+SUM(E39:H39)</f>
        <v>26885400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37" t="s">
        <v>43</v>
      </c>
      <c r="G5" s="30"/>
      <c r="H5" s="32"/>
      <c r="I5" s="30">
        <v>10600000</v>
      </c>
      <c r="K5" s="37" t="s">
        <v>43</v>
      </c>
      <c r="L5" s="30"/>
      <c r="M5" s="32"/>
      <c r="N5" s="30">
        <v>11000000</v>
      </c>
    </row>
    <row r="6" spans="3:14">
      <c r="C6" t="s">
        <v>38</v>
      </c>
      <c r="D6" s="15">
        <v>200000</v>
      </c>
      <c r="F6" s="37" t="s">
        <v>47</v>
      </c>
      <c r="G6" s="30"/>
      <c r="H6" s="32"/>
      <c r="I6" s="30">
        <v>124266</v>
      </c>
      <c r="K6" s="37" t="s">
        <v>47</v>
      </c>
      <c r="L6" s="30"/>
      <c r="M6" s="32"/>
      <c r="N6" s="30">
        <v>124266</v>
      </c>
    </row>
    <row r="7" spans="3:14">
      <c r="C7" t="s">
        <v>34</v>
      </c>
      <c r="D7" s="15">
        <v>300000</v>
      </c>
      <c r="F7" s="37" t="s">
        <v>44</v>
      </c>
      <c r="G7" s="30"/>
      <c r="H7" s="32"/>
      <c r="I7" s="30">
        <v>500000</v>
      </c>
      <c r="K7" s="37" t="s">
        <v>44</v>
      </c>
      <c r="L7" s="30"/>
      <c r="M7" s="32"/>
      <c r="N7" s="30">
        <v>500000</v>
      </c>
    </row>
    <row r="8" spans="3:14">
      <c r="C8" t="s">
        <v>35</v>
      </c>
      <c r="D8" s="15">
        <f>350000*0</f>
        <v>0</v>
      </c>
      <c r="F8" s="37" t="s">
        <v>45</v>
      </c>
      <c r="G8" s="30"/>
      <c r="H8" s="32"/>
      <c r="I8" s="30">
        <v>500000</v>
      </c>
      <c r="K8" s="37" t="s">
        <v>45</v>
      </c>
      <c r="L8" s="30"/>
      <c r="M8" s="32"/>
      <c r="N8" s="30">
        <v>500000</v>
      </c>
    </row>
    <row r="9" spans="3:14">
      <c r="C9" t="s">
        <v>36</v>
      </c>
      <c r="D9" s="15">
        <v>350000</v>
      </c>
      <c r="F9" s="37" t="s">
        <v>46</v>
      </c>
      <c r="G9" s="30"/>
      <c r="H9" s="32"/>
      <c r="I9" s="30">
        <v>2000000</v>
      </c>
      <c r="K9" s="53" t="s">
        <v>76</v>
      </c>
      <c r="N9" s="30">
        <v>500000</v>
      </c>
    </row>
    <row r="10" spans="3:14">
      <c r="C10" t="s">
        <v>37</v>
      </c>
      <c r="D10" s="15"/>
      <c r="F10" s="37" t="s">
        <v>48</v>
      </c>
      <c r="G10" s="30"/>
      <c r="H10" s="32"/>
      <c r="I10" s="30">
        <v>916634.45</v>
      </c>
      <c r="K10" s="53" t="s">
        <v>77</v>
      </c>
      <c r="N10" s="30">
        <v>361000</v>
      </c>
    </row>
    <row r="11" spans="3:14">
      <c r="C11" t="s">
        <v>39</v>
      </c>
      <c r="D11" s="15"/>
      <c r="K11" s="53" t="s">
        <v>78</v>
      </c>
      <c r="N11" s="30">
        <v>500000</v>
      </c>
    </row>
    <row r="12" spans="3:14">
      <c r="C12" t="s">
        <v>40</v>
      </c>
      <c r="D12" s="15">
        <v>100000</v>
      </c>
      <c r="K12" s="53" t="s">
        <v>79</v>
      </c>
      <c r="N12" s="30">
        <v>200000</v>
      </c>
    </row>
    <row r="13" spans="3:14">
      <c r="C13" t="s">
        <v>41</v>
      </c>
      <c r="D13" s="15">
        <v>200000</v>
      </c>
      <c r="I13" s="17">
        <f>SUM(I5:I12)</f>
        <v>14640900.449999999</v>
      </c>
      <c r="N13" s="17">
        <f>SUM(N5:N12)</f>
        <v>13685266</v>
      </c>
    </row>
    <row r="14" spans="3:14">
      <c r="C14" t="s">
        <v>42</v>
      </c>
      <c r="D14" s="15">
        <v>100000</v>
      </c>
    </row>
    <row r="16" spans="3:14">
      <c r="D16" s="17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2026-04-20T03:49:35Z</dcterms:modified>
</cp:coreProperties>
</file>