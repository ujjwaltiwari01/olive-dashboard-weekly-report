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0CEA3D9B-E783-47CA-9BF6-58603830455F}" xr6:coauthVersionLast="47" xr6:coauthVersionMax="47" xr10:uidLastSave="{00000000-0000-0000-0000-000000000000}"/>
  <bookViews>
    <workbookView xWindow="-110" yWindow="-110" windowWidth="19420" windowHeight="11500" activeTab="1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K12" i="5"/>
  <c r="K13" i="5"/>
  <c r="K14" i="5"/>
  <c r="K15" i="5"/>
  <c r="K16" i="5"/>
  <c r="K17" i="5"/>
  <c r="K18" i="5"/>
  <c r="K20" i="5"/>
  <c r="K21" i="5"/>
  <c r="K22" i="5"/>
  <c r="K23" i="5"/>
  <c r="K24" i="5"/>
  <c r="K25" i="5"/>
  <c r="K26" i="5"/>
  <c r="K27" i="5"/>
  <c r="K28" i="5"/>
  <c r="K29" i="5"/>
  <c r="K30" i="5"/>
  <c r="K31" i="5"/>
  <c r="K10" i="5"/>
  <c r="J11" i="5"/>
  <c r="J12" i="5"/>
  <c r="J13" i="5"/>
  <c r="J14" i="5"/>
  <c r="J15" i="5"/>
  <c r="J16" i="5"/>
  <c r="J17" i="5"/>
  <c r="J18" i="5"/>
  <c r="J19" i="5"/>
  <c r="K19" i="5" s="1"/>
  <c r="J20" i="5"/>
  <c r="J21" i="5"/>
  <c r="J22" i="5"/>
  <c r="J23" i="5"/>
  <c r="J24" i="5"/>
  <c r="J25" i="5"/>
  <c r="J26" i="5"/>
  <c r="J27" i="5"/>
  <c r="J28" i="5"/>
  <c r="J29" i="5"/>
  <c r="J30" i="5"/>
  <c r="J10" i="5"/>
  <c r="C22" i="5"/>
  <c r="F23" i="3" l="1"/>
  <c r="D15" i="3"/>
  <c r="F5" i="3"/>
  <c r="C6" i="3"/>
  <c r="D23" i="3"/>
  <c r="J12" i="4"/>
  <c r="J9" i="4"/>
  <c r="J10" i="4"/>
  <c r="I9" i="4"/>
  <c r="H9" i="4"/>
  <c r="F8" i="4"/>
  <c r="F11" i="4" s="1"/>
  <c r="E38" i="5"/>
  <c r="F38" i="5"/>
  <c r="J36" i="5"/>
  <c r="K35" i="5"/>
  <c r="K33" i="5"/>
  <c r="K36" i="5"/>
  <c r="K37" i="5"/>
  <c r="J34" i="5"/>
  <c r="J31" i="5"/>
  <c r="I32" i="5"/>
  <c r="J32" i="5" s="1"/>
  <c r="J38" i="5" s="1"/>
  <c r="H32" i="5"/>
  <c r="G8" i="4" s="1"/>
  <c r="G11" i="4" s="1"/>
  <c r="G32" i="5"/>
  <c r="G38" i="5" s="1"/>
  <c r="F32" i="5"/>
  <c r="E8" i="4" s="1"/>
  <c r="E11" i="4" s="1"/>
  <c r="E32" i="5"/>
  <c r="D8" i="4" s="1"/>
  <c r="D32" i="5"/>
  <c r="D38" i="5" s="1"/>
  <c r="C32" i="5"/>
  <c r="Q16" i="2"/>
  <c r="Q18" i="2" s="1"/>
  <c r="Q15" i="2"/>
  <c r="E18" i="2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D18" i="2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E15" i="2"/>
  <c r="F15" i="2"/>
  <c r="G15" i="2"/>
  <c r="H15" i="2"/>
  <c r="I15" i="2"/>
  <c r="J15" i="2"/>
  <c r="K15" i="2"/>
  <c r="L15" i="2"/>
  <c r="M15" i="2"/>
  <c r="N15" i="2"/>
  <c r="O15" i="2"/>
  <c r="P15" i="2"/>
  <c r="E16" i="2"/>
  <c r="F16" i="2"/>
  <c r="G16" i="2"/>
  <c r="H16" i="2"/>
  <c r="I16" i="2"/>
  <c r="J16" i="2"/>
  <c r="K16" i="2"/>
  <c r="L16" i="2"/>
  <c r="M16" i="2"/>
  <c r="N16" i="2"/>
  <c r="O16" i="2"/>
  <c r="P16" i="2"/>
  <c r="D16" i="2"/>
  <c r="D15" i="2"/>
  <c r="C18" i="2"/>
  <c r="C17" i="2"/>
  <c r="C16" i="2"/>
  <c r="C15" i="2"/>
  <c r="I23" i="2"/>
  <c r="P11" i="2" s="1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B21" i="7"/>
  <c r="C21" i="7" s="1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B20" i="7"/>
  <c r="C18" i="7"/>
  <c r="D18" i="7"/>
  <c r="E18" i="7"/>
  <c r="F18" i="7"/>
  <c r="G18" i="7"/>
  <c r="H18" i="7"/>
  <c r="I18" i="7"/>
  <c r="J18" i="7"/>
  <c r="K18" i="7"/>
  <c r="L18" i="7"/>
  <c r="M18" i="7"/>
  <c r="N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B19" i="7"/>
  <c r="B18" i="7"/>
  <c r="H29" i="7"/>
  <c r="H30" i="7"/>
  <c r="H28" i="7"/>
  <c r="C8" i="4" l="1"/>
  <c r="K32" i="5"/>
  <c r="D11" i="4"/>
  <c r="I38" i="5"/>
  <c r="C38" i="5"/>
  <c r="H38" i="5"/>
  <c r="H8" i="4"/>
  <c r="H11" i="4" s="1"/>
  <c r="Q17" i="2"/>
  <c r="O14" i="7"/>
  <c r="I8" i="4" l="1"/>
  <c r="C34" i="5"/>
  <c r="K34" i="5" s="1"/>
  <c r="G34" i="5"/>
  <c r="I11" i="4" l="1"/>
  <c r="J8" i="4"/>
  <c r="J11" i="4" s="1"/>
  <c r="H34" i="5"/>
  <c r="I34" i="5"/>
  <c r="F24" i="2"/>
  <c r="I24" i="2" s="1"/>
  <c r="P10" i="2" s="1"/>
  <c r="Q5" i="2" l="1"/>
  <c r="E10" i="4"/>
  <c r="F10" i="4"/>
  <c r="G10" i="4"/>
  <c r="D10" i="4"/>
  <c r="E9" i="4"/>
  <c r="F9" i="4"/>
  <c r="G9" i="4"/>
  <c r="D9" i="4"/>
  <c r="I10" i="4" l="1"/>
  <c r="P13" i="7"/>
  <c r="O4" i="7"/>
  <c r="P1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B10" i="7"/>
  <c r="O9" i="7"/>
  <c r="P9" i="7" s="1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4" i="7" l="1"/>
  <c r="O18" i="7"/>
  <c r="P11" i="7"/>
  <c r="P6" i="7"/>
  <c r="O5" i="7"/>
  <c r="O10" i="7"/>
  <c r="P10" i="7" s="1"/>
  <c r="K38" i="5"/>
  <c r="P16" i="7"/>
  <c r="O15" i="7"/>
  <c r="P15" i="7" s="1"/>
  <c r="P19" i="7"/>
  <c r="P5" i="7"/>
  <c r="P18" i="7"/>
  <c r="C9" i="4" l="1"/>
  <c r="J15" i="4" l="1"/>
  <c r="J20" i="4" s="1"/>
  <c r="E30" i="2"/>
  <c r="F30" i="2"/>
  <c r="G30" i="2"/>
  <c r="E31" i="2"/>
  <c r="F31" i="2"/>
  <c r="I31" i="2" s="1"/>
  <c r="G31" i="2"/>
  <c r="D30" i="2"/>
  <c r="D31" i="2"/>
  <c r="Q10" i="2"/>
  <c r="H25" i="2"/>
  <c r="I25" i="2" s="1"/>
  <c r="H26" i="2"/>
  <c r="I26" i="2" s="1"/>
  <c r="H27" i="2"/>
  <c r="I27" i="2" s="1"/>
  <c r="Q11" i="2"/>
  <c r="I30" i="2" l="1"/>
  <c r="R10" i="2"/>
  <c r="C31" i="2" l="1"/>
  <c r="C30" i="2"/>
  <c r="N13" i="6" l="1"/>
  <c r="D8" i="6" l="1"/>
  <c r="D16" i="6"/>
  <c r="J6" i="3"/>
  <c r="J5" i="3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C10" i="4" l="1"/>
  <c r="C12" i="2"/>
  <c r="D12" i="2" s="1"/>
  <c r="C7" i="2"/>
  <c r="D7" i="2" s="1"/>
  <c r="C11" i="4" l="1"/>
  <c r="C17" i="3"/>
  <c r="F8" i="3"/>
  <c r="F14" i="3" s="1"/>
  <c r="D14" i="3" s="1"/>
  <c r="C8" i="3"/>
  <c r="E12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F17" i="3" l="1"/>
  <c r="D17" i="3" s="1"/>
  <c r="F12" i="2"/>
  <c r="Q7" i="2"/>
  <c r="P7" i="2"/>
  <c r="J4" i="3"/>
  <c r="G12" i="2" l="1"/>
  <c r="H12" i="2" l="1"/>
  <c r="I12" i="2" l="1"/>
  <c r="J12" i="2" l="1"/>
  <c r="K12" i="2" l="1"/>
  <c r="L12" i="2" l="1"/>
  <c r="M12" i="2" l="1"/>
  <c r="N12" i="2" l="1"/>
  <c r="O12" i="2" l="1"/>
  <c r="P12" i="2" l="1"/>
  <c r="R16" i="2"/>
  <c r="Q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  <author>tc={9B401113-51F6-4FAD-938E-C692C95329F5}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7" authorId="2" shapeId="0" xr:uid="{9B401113-51F6-4FAD-938E-C692C9532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<sst xmlns="http://schemas.openxmlformats.org/spreadsheetml/2006/main" count="221" uniqueCount="163">
  <si>
    <t>Total Keys</t>
  </si>
  <si>
    <t>Total Properties</t>
  </si>
  <si>
    <t>OLIVE</t>
  </si>
  <si>
    <t>SPARK</t>
  </si>
  <si>
    <t>OPEN</t>
  </si>
  <si>
    <t>Total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</si>
  <si>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</si>
  <si>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</si>
  <si>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</si>
  <si>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</si>
  <si>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</si>
  <si>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</si>
  <si>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</si>
  <si>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</si>
  <si>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</si>
  <si>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</si>
  <si>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</si>
  <si>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</si>
  <si>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Inflow</t>
  </si>
  <si>
    <t>Received</t>
  </si>
  <si>
    <t>TA fees</t>
  </si>
  <si>
    <t>Management fees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</si>
  <si>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</si>
  <si>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</si>
  <si>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</si>
  <si>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</si>
  <si>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</si>
  <si>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</si>
  <si>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</si>
  <si>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</si>
  <si>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</si>
  <si>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</si>
  <si>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</si>
  <si>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</si>
  <si>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</si>
  <si>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</si>
  <si>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</si>
  <si>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</si>
  <si>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</si>
  <si>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</si>
  <si>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</si>
  <si>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</si>
  <si>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</si>
  <si>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</si>
  <si>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</si>
  <si>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</si>
  <si>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</si>
  <si>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</si>
  <si>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</si>
  <si>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</si>
  <si>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</si>
  <si>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</si>
  <si>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</si>
  <si>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</si>
  <si>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</si>
  <si>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</si>
  <si>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</si>
  <si>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</si>
  <si>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</si>
  <si>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</si>
  <si>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</si>
  <si>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</si>
  <si>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Cashflow - Breakdown</t>
  </si>
  <si>
    <t>Overall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</si>
  <si>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</si>
  <si>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</si>
  <si>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</si>
  <si>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</si>
  <si>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</si>
  <si>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</si>
  <si>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</si>
  <si>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</si>
  <si>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</si>
  <si>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</si>
  <si>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</si>
  <si>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</si>
  <si>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</si>
  <si>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</si>
  <si>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</si>
  <si>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</si>
  <si>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</si>
  <si>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</si>
  <si>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</si>
  <si>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</si>
  <si>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April 25</t>
  </si>
  <si>
    <t>April 26</t>
  </si>
  <si>
    <t>April</t>
  </si>
  <si>
    <t>Hulimavu, Bangalore</t>
  </si>
  <si>
    <t>Nagavara, Bangalore</t>
  </si>
  <si>
    <t>JP Nagar, Bangalore</t>
  </si>
  <si>
    <t>Olive Yelahanka near BMSIT BLR</t>
  </si>
  <si>
    <t>Andheri - Le Grande</t>
  </si>
  <si>
    <t>Spark Rajkot</t>
  </si>
  <si>
    <t>Spark Vision Ventures - Tathawade</t>
  </si>
  <si>
    <t>Olive Bharatpur</t>
  </si>
  <si>
    <t>Olive Kakkanad Info Park</t>
  </si>
  <si>
    <t>Diamond Park (Vizag): 20 keys</t>
  </si>
  <si>
    <t>Handover date</t>
  </si>
  <si>
    <t>Go-live date</t>
  </si>
  <si>
    <t>April '26 WIP</t>
  </si>
  <si>
    <t>Saturday, May 30th 2026</t>
  </si>
  <si>
    <t>Calangute, Goa</t>
  </si>
  <si>
    <t>Monday, June 15th 2026</t>
  </si>
  <si>
    <t>Nagarjuna/Marathahalli, Bangalore</t>
  </si>
  <si>
    <t>Friday, June 5th 2026</t>
  </si>
  <si>
    <t>Monday, May 11th 2026</t>
  </si>
  <si>
    <t>Olive Sector 57 GUR</t>
  </si>
  <si>
    <t>Thursday, June 18th 2026</t>
  </si>
  <si>
    <t>Vizag, AP</t>
  </si>
  <si>
    <t>Friday, May 15th 2026</t>
  </si>
  <si>
    <t>15th June 2026</t>
  </si>
  <si>
    <t>30th June 2026</t>
  </si>
  <si>
    <t>30th May 2026</t>
  </si>
  <si>
    <t>20th June 2026</t>
  </si>
  <si>
    <t>15th May 2026</t>
  </si>
  <si>
    <t>3rd July 2026</t>
  </si>
  <si>
    <t xml:space="preserve">Operational Properties – Open Brand:
</t>
  </si>
  <si>
    <t>1. Chamier's Park : 25 keys</t>
  </si>
  <si>
    <t>2. The Botanica : 50 keys</t>
  </si>
  <si>
    <t>3. Sea Heights : 24 keys</t>
  </si>
  <si>
    <t>To be collected</t>
  </si>
  <si>
    <t>YoY Growth - Managed properties</t>
  </si>
  <si>
    <t>Short stay</t>
  </si>
  <si>
    <t>Long stay</t>
  </si>
  <si>
    <t>Growth rates</t>
  </si>
  <si>
    <t>MoM Growth - Franchised properties</t>
  </si>
  <si>
    <t>Feb</t>
  </si>
  <si>
    <t>March</t>
  </si>
  <si>
    <t>Week 5</t>
  </si>
  <si>
    <t>1. Open Brand:</t>
  </si>
  <si>
    <t>Global Stays (Blr) : 25 keys</t>
  </si>
  <si>
    <t>Xotel (HSR Layout): 25 keys</t>
  </si>
  <si>
    <t>SS Heritage (BLR) : 25 keys</t>
  </si>
  <si>
    <t xml:space="preserve"> 3. Sadahalli, Bangalore: The property has been formally converted from the Olive brand to Spark.</t>
  </si>
  <si>
    <t>2. Spark</t>
  </si>
  <si>
    <t>Le Grande (Andheri) : 58 keys</t>
  </si>
  <si>
    <t>Navsari : 54 keys</t>
  </si>
  <si>
    <t>MRV Inn (Chennai) : 19 keys</t>
  </si>
  <si>
    <t>Xotel, (Chennai Airport) : 16 keys</t>
  </si>
  <si>
    <t>Ambica Grand (Vizag) : 26 keys</t>
  </si>
  <si>
    <t>26th May 2026</t>
  </si>
  <si>
    <t>W5</t>
  </si>
  <si>
    <t>Excess/Deficit (Expected outflow - current balance)</t>
  </si>
  <si>
    <t>% of contribution</t>
  </si>
  <si>
    <t xml:space="preserve">April </t>
  </si>
  <si>
    <t>Budget vs Actuals - April'26 - Managed properties
'26 - same period</t>
  </si>
  <si>
    <t>% of Achievement</t>
  </si>
  <si>
    <t>Olive Cumulative Properties</t>
  </si>
  <si>
    <t>Olive Cumulative keys</t>
  </si>
  <si>
    <t>Spark Cumulative properties</t>
  </si>
  <si>
    <t>Spark Cumulative keys</t>
  </si>
  <si>
    <t>Open Cumulative properties</t>
  </si>
  <si>
    <t>Open Cumulative keys</t>
  </si>
  <si>
    <t>Overall Cumulative properties</t>
  </si>
  <si>
    <t>Overall Cumulative keys</t>
  </si>
  <si>
    <t>Open Cumulative Keys</t>
  </si>
  <si>
    <t>Open Cumulative Properties</t>
  </si>
  <si>
    <t>Overall Cumulative Keys</t>
  </si>
  <si>
    <t>Overall Cumulative Properties</t>
  </si>
  <si>
    <t>Spark Navsari</t>
  </si>
  <si>
    <t>Olive Dehradun</t>
  </si>
  <si>
    <t>Outflow - expected (Salaries + Reimbursements + Application fees + Sundries)</t>
  </si>
  <si>
    <t>Thursday, April 30th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</si>
</sst>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0.0%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3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3" borderId="4" xfId="0" applyFont="1" applyFill="1" applyBorder="1" applyAlignment="1">
      <alignment horizontal="left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17" fillId="0" borderId="0" xfId="0" applyNumberFormat="1" applyFont="1" applyAlignment="1">
      <alignment horizontal="left"/>
    </xf>
    <xf numFmtId="164" fontId="0" fillId="0" borderId="0" xfId="1" applyNumberFormat="1" applyFont="1" applyFill="1"/>
    <xf numFmtId="3" fontId="0" fillId="0" borderId="0" xfId="0" applyNumberFormat="1"/>
    <xf numFmtId="9" fontId="0" fillId="0" borderId="0" xfId="2" applyFont="1" applyFill="1"/>
    <xf numFmtId="164" fontId="0" fillId="0" borderId="0" xfId="1" quotePrefix="1" applyNumberFormat="1" applyFont="1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  <xf numFmtId="0" fontId="20" fillId="6" borderId="0" xfId="0" applyFont="1" applyFill="1" applyAlignment="1">
      <alignment vertical="center" wrapText="1"/>
    </xf>
    <xf numFmtId="0" fontId="20" fillId="6" borderId="11" xfId="0" applyFont="1" applyFill="1" applyBorder="1" applyAlignment="1">
      <alignment vertical="center" wrapText="1"/>
    </xf>
    <xf numFmtId="0" fontId="20" fillId="6" borderId="21" xfId="0" applyFont="1" applyFill="1" applyBorder="1" applyAlignment="1">
      <alignment vertical="center" wrapText="1"/>
    </xf>
    <xf numFmtId="0" fontId="20" fillId="6" borderId="22" xfId="0" applyFont="1" applyFill="1" applyBorder="1" applyAlignment="1">
      <alignment vertical="center" wrapText="1"/>
    </xf>
    <xf numFmtId="164" fontId="13" fillId="7" borderId="9" xfId="1" applyNumberFormat="1" applyFont="1" applyFill="1" applyBorder="1" applyAlignment="1">
      <alignment horizontal="right" wrapText="1"/>
    </xf>
    <xf numFmtId="43" fontId="0" fillId="0" borderId="0" xfId="1" applyFont="1"/>
    <xf numFmtId="43" fontId="0" fillId="0" borderId="0" xfId="0" applyNumberFormat="1"/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2" applyNumberFormat="1" applyFont="1"/>
    <xf numFmtId="164" fontId="0" fillId="0" borderId="0" xfId="1" quotePrefix="1" applyNumberFormat="1" applyFont="1"/>
    <xf numFmtId="164" fontId="22" fillId="0" borderId="0" xfId="1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  <threadedComment ref="Q17" dT="2026-03-27T10:53:37.60" personId="{2D775E0F-25EB-4869-B64A-5FF516290769}" id="{9B401113-51F6-4FAD-938E-C692C95329F5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48"/>
  <sheetViews>
    <sheetView topLeftCell="A16" workbookViewId="0">
      <selection activeCell="O10" sqref="O10"/>
    </sheetView>
  </sheetViews>
  <sheetFormatPr defaultRowHeight="14.5"/>
  <cols>
    <col min="1" max="1" width="32.36328125" customWidth="1"/>
    <col min="2" max="2" width="14.08984375" bestFit="1" customWidth="1"/>
  </cols>
  <sheetData>
    <row r="1" spans="1:16">
      <c r="B1" s="41" t="s">
        <v>61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2"/>
    </row>
    <row r="3" spans="1:16">
      <c r="A3" s="1" t="s">
        <v>0</v>
      </c>
      <c r="B3" s="43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3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H29</f>
        <v>0</v>
      </c>
      <c r="P4" s="2">
        <f>SUM(B4:O4)</f>
        <v>76</v>
      </c>
    </row>
    <row r="5" spans="1:16">
      <c r="A5" s="7" t="s">
        <v>147</v>
      </c>
      <c r="B5" s="44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148</v>
      </c>
      <c r="B6" s="44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2"/>
      <c r="P7" s="2"/>
    </row>
    <row r="8" spans="1:16">
      <c r="A8" s="1" t="s">
        <v>0</v>
      </c>
      <c r="B8" s="43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3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H30</f>
        <v>2</v>
      </c>
      <c r="P9">
        <f>SUM(B9:O9)</f>
        <v>30</v>
      </c>
    </row>
    <row r="10" spans="1:16">
      <c r="A10" s="7" t="s">
        <v>149</v>
      </c>
      <c r="B10" s="44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30</v>
      </c>
      <c r="P10" s="8">
        <f>P9-O10</f>
        <v>0</v>
      </c>
    </row>
    <row r="11" spans="1:16">
      <c r="A11" s="7" t="s">
        <v>150</v>
      </c>
      <c r="B11" s="44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2"/>
      <c r="P12" s="2"/>
    </row>
    <row r="13" spans="1:16">
      <c r="A13" s="1" t="s">
        <v>0</v>
      </c>
      <c r="B13" s="43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v>268</v>
      </c>
      <c r="P13" s="2">
        <f>SUM(B13:O13)</f>
        <v>1315</v>
      </c>
    </row>
    <row r="14" spans="1:16">
      <c r="A14" s="1" t="s">
        <v>1</v>
      </c>
      <c r="B14" s="43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H28+H29+H30</f>
        <v>9</v>
      </c>
      <c r="P14" s="2">
        <f>SUM(B14:O14)</f>
        <v>49</v>
      </c>
    </row>
    <row r="15" spans="1:16">
      <c r="A15" s="7" t="s">
        <v>151</v>
      </c>
      <c r="B15" s="44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49</v>
      </c>
      <c r="P15" s="8">
        <f>P14-O15</f>
        <v>0</v>
      </c>
    </row>
    <row r="16" spans="1:16">
      <c r="A16" s="7" t="s">
        <v>152</v>
      </c>
      <c r="B16" s="44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1315</v>
      </c>
      <c r="P16" s="8">
        <f>P13-O16</f>
        <v>0</v>
      </c>
    </row>
    <row r="17" spans="1:16">
      <c r="A17" s="4" t="s">
        <v>63</v>
      </c>
      <c r="B17" s="44"/>
      <c r="P17" s="106"/>
    </row>
    <row r="18" spans="1:16">
      <c r="A18" s="1" t="s">
        <v>75</v>
      </c>
      <c r="B18" s="44">
        <f>B4+B9+B14</f>
        <v>64</v>
      </c>
      <c r="C18">
        <f t="shared" ref="C18:O18" si="7">C4+C9+C14</f>
        <v>4</v>
      </c>
      <c r="D18">
        <f t="shared" si="7"/>
        <v>7</v>
      </c>
      <c r="E18">
        <f t="shared" si="7"/>
        <v>3</v>
      </c>
      <c r="F18">
        <f t="shared" si="7"/>
        <v>6</v>
      </c>
      <c r="G18">
        <f t="shared" si="7"/>
        <v>2</v>
      </c>
      <c r="H18">
        <f t="shared" si="7"/>
        <v>4</v>
      </c>
      <c r="I18">
        <f t="shared" si="7"/>
        <v>5</v>
      </c>
      <c r="J18">
        <f t="shared" si="7"/>
        <v>6</v>
      </c>
      <c r="K18">
        <f t="shared" si="7"/>
        <v>6</v>
      </c>
      <c r="L18">
        <f t="shared" si="7"/>
        <v>8</v>
      </c>
      <c r="M18">
        <f t="shared" si="7"/>
        <v>13</v>
      </c>
      <c r="N18">
        <f t="shared" si="7"/>
        <v>16</v>
      </c>
      <c r="O18">
        <f t="shared" si="7"/>
        <v>11</v>
      </c>
      <c r="P18">
        <f>P4+P9+P14</f>
        <v>155</v>
      </c>
    </row>
    <row r="19" spans="1:16">
      <c r="A19" s="1" t="s">
        <v>76</v>
      </c>
      <c r="B19" s="44">
        <f>B3+B8+B13</f>
        <v>3033</v>
      </c>
      <c r="C19">
        <f t="shared" ref="C19:O19" si="8">C3+C8+C13</f>
        <v>147</v>
      </c>
      <c r="D19">
        <f t="shared" si="8"/>
        <v>410</v>
      </c>
      <c r="E19">
        <f t="shared" si="8"/>
        <v>157</v>
      </c>
      <c r="F19">
        <f t="shared" si="8"/>
        <v>313</v>
      </c>
      <c r="G19">
        <f t="shared" si="8"/>
        <v>97</v>
      </c>
      <c r="H19">
        <f t="shared" si="8"/>
        <v>188</v>
      </c>
      <c r="I19">
        <f t="shared" si="8"/>
        <v>207</v>
      </c>
      <c r="J19">
        <f t="shared" si="8"/>
        <v>191</v>
      </c>
      <c r="K19">
        <f t="shared" si="8"/>
        <v>412</v>
      </c>
      <c r="L19">
        <f t="shared" si="8"/>
        <v>512</v>
      </c>
      <c r="M19">
        <f t="shared" si="8"/>
        <v>338</v>
      </c>
      <c r="N19">
        <f t="shared" si="8"/>
        <v>534</v>
      </c>
      <c r="O19">
        <f t="shared" si="8"/>
        <v>268</v>
      </c>
      <c r="P19">
        <f>P3+P8+P13</f>
        <v>6807</v>
      </c>
    </row>
    <row r="20" spans="1:16">
      <c r="A20" s="7" t="s">
        <v>153</v>
      </c>
      <c r="B20" s="44">
        <f>B18</f>
        <v>64</v>
      </c>
      <c r="C20" s="7">
        <f>C18+B20</f>
        <v>68</v>
      </c>
      <c r="D20" s="7">
        <f t="shared" ref="D20:O20" si="9">D18+C20</f>
        <v>75</v>
      </c>
      <c r="E20" s="7">
        <f t="shared" si="9"/>
        <v>78</v>
      </c>
      <c r="F20" s="7">
        <f t="shared" si="9"/>
        <v>84</v>
      </c>
      <c r="G20" s="7">
        <f t="shared" si="9"/>
        <v>86</v>
      </c>
      <c r="H20" s="7">
        <f t="shared" si="9"/>
        <v>90</v>
      </c>
      <c r="I20" s="7">
        <f t="shared" si="9"/>
        <v>95</v>
      </c>
      <c r="J20" s="7">
        <f t="shared" si="9"/>
        <v>101</v>
      </c>
      <c r="K20" s="7">
        <f t="shared" si="9"/>
        <v>107</v>
      </c>
      <c r="L20" s="7">
        <f t="shared" si="9"/>
        <v>115</v>
      </c>
      <c r="M20" s="7">
        <f t="shared" si="9"/>
        <v>128</v>
      </c>
      <c r="N20" s="7">
        <f t="shared" si="9"/>
        <v>144</v>
      </c>
      <c r="O20" s="7">
        <f t="shared" si="9"/>
        <v>155</v>
      </c>
      <c r="P20" s="8">
        <f>P18-O20</f>
        <v>0</v>
      </c>
    </row>
    <row r="21" spans="1:16">
      <c r="A21" s="7" t="s">
        <v>154</v>
      </c>
      <c r="B21" s="44">
        <f>B19</f>
        <v>3033</v>
      </c>
      <c r="C21">
        <f>C19+B21</f>
        <v>3180</v>
      </c>
      <c r="D21">
        <f t="shared" ref="D21:O21" si="10">D19+C21</f>
        <v>3590</v>
      </c>
      <c r="E21">
        <f t="shared" si="10"/>
        <v>3747</v>
      </c>
      <c r="F21">
        <f t="shared" si="10"/>
        <v>4060</v>
      </c>
      <c r="G21">
        <f t="shared" si="10"/>
        <v>4157</v>
      </c>
      <c r="H21">
        <f t="shared" si="10"/>
        <v>4345</v>
      </c>
      <c r="I21">
        <f t="shared" si="10"/>
        <v>4552</v>
      </c>
      <c r="J21">
        <f t="shared" si="10"/>
        <v>4743</v>
      </c>
      <c r="K21">
        <f t="shared" si="10"/>
        <v>5155</v>
      </c>
      <c r="L21">
        <f t="shared" si="10"/>
        <v>5667</v>
      </c>
      <c r="M21">
        <f t="shared" si="10"/>
        <v>6005</v>
      </c>
      <c r="N21">
        <f t="shared" si="10"/>
        <v>6539</v>
      </c>
      <c r="O21">
        <f t="shared" si="10"/>
        <v>6807</v>
      </c>
      <c r="P21" s="8">
        <f>P19-O21</f>
        <v>0</v>
      </c>
    </row>
    <row r="22" spans="1:16">
      <c r="A22" s="7"/>
    </row>
    <row r="24" spans="1:16" ht="15" thickBot="1"/>
    <row r="25" spans="1:16">
      <c r="C25" s="115" t="s">
        <v>70</v>
      </c>
      <c r="D25" s="116"/>
      <c r="E25" s="116"/>
      <c r="F25" s="116"/>
      <c r="G25" s="117"/>
    </row>
    <row r="26" spans="1:16" ht="15.5">
      <c r="A26" s="9"/>
      <c r="B26" s="65" t="s">
        <v>60</v>
      </c>
      <c r="C26" s="118" t="s">
        <v>6</v>
      </c>
      <c r="D26" s="46" t="s">
        <v>7</v>
      </c>
      <c r="E26" s="46" t="s">
        <v>8</v>
      </c>
      <c r="F26" s="46" t="s">
        <v>9</v>
      </c>
      <c r="G26" s="46" t="s">
        <v>128</v>
      </c>
      <c r="H26" s="68" t="s">
        <v>5</v>
      </c>
    </row>
    <row r="27" spans="1:16" ht="15.5">
      <c r="A27" s="10" t="s">
        <v>13</v>
      </c>
      <c r="B27" s="66"/>
      <c r="C27" s="119"/>
      <c r="D27" s="10"/>
      <c r="E27" s="10"/>
      <c r="F27" s="10"/>
      <c r="G27" s="10"/>
      <c r="H27" s="55"/>
    </row>
    <row r="28" spans="1:16" ht="16">
      <c r="A28" s="11" t="s">
        <v>10</v>
      </c>
      <c r="B28" s="67">
        <v>9</v>
      </c>
      <c r="C28" s="69">
        <v>0</v>
      </c>
      <c r="D28" s="69">
        <v>3</v>
      </c>
      <c r="E28" s="69">
        <v>1</v>
      </c>
      <c r="F28" s="69">
        <v>0</v>
      </c>
      <c r="G28" s="69">
        <v>3</v>
      </c>
      <c r="H28" s="59">
        <f>SUM(C28:G28)</f>
        <v>7</v>
      </c>
    </row>
    <row r="29" spans="1:16" ht="16">
      <c r="A29" s="11" t="s">
        <v>11</v>
      </c>
      <c r="B29" s="67">
        <v>3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59">
        <f t="shared" ref="H29:H30" si="11">SUM(C29:G29)</f>
        <v>0</v>
      </c>
    </row>
    <row r="30" spans="1:16" ht="16">
      <c r="A30" s="11" t="s">
        <v>12</v>
      </c>
      <c r="B30" s="67">
        <v>4</v>
      </c>
      <c r="C30" s="69">
        <v>0</v>
      </c>
      <c r="D30" s="69">
        <v>0</v>
      </c>
      <c r="E30" s="69">
        <v>0</v>
      </c>
      <c r="F30" s="69">
        <v>1</v>
      </c>
      <c r="G30" s="69">
        <v>1</v>
      </c>
      <c r="H30" s="59">
        <f t="shared" si="11"/>
        <v>2</v>
      </c>
    </row>
    <row r="33" spans="1:1">
      <c r="A33" s="71" t="s">
        <v>83</v>
      </c>
    </row>
    <row r="34" spans="1:1">
      <c r="A34" s="71" t="s">
        <v>129</v>
      </c>
    </row>
    <row r="35" spans="1:1">
      <c r="A35" s="86" t="s">
        <v>130</v>
      </c>
    </row>
    <row r="36" spans="1:1">
      <c r="A36" s="86" t="s">
        <v>131</v>
      </c>
    </row>
    <row r="37" spans="1:1">
      <c r="A37" s="86" t="s">
        <v>132</v>
      </c>
    </row>
    <row r="38" spans="1:1">
      <c r="A38" s="86" t="s">
        <v>96</v>
      </c>
    </row>
    <row r="39" spans="1:1">
      <c r="A39" s="86" t="s">
        <v>137</v>
      </c>
    </row>
    <row r="40" spans="1:1" ht="23">
      <c r="A40" s="86" t="s">
        <v>138</v>
      </c>
    </row>
    <row r="41" spans="1:1">
      <c r="A41" s="86" t="s">
        <v>139</v>
      </c>
    </row>
    <row r="42" spans="1:1">
      <c r="A42" s="86"/>
    </row>
    <row r="43" spans="1:1">
      <c r="A43" s="86" t="s">
        <v>134</v>
      </c>
    </row>
    <row r="44" spans="1:1">
      <c r="A44" s="86" t="s">
        <v>135</v>
      </c>
    </row>
    <row r="45" spans="1:1">
      <c r="A45" s="86" t="s">
        <v>136</v>
      </c>
    </row>
    <row r="47" spans="1:1">
      <c r="A47" s="72" t="s">
        <v>133</v>
      </c>
    </row>
    <row r="48" spans="1:1">
      <c r="A48" s="72"/>
    </row>
  </sheetData>
  <mergeCells count="2">
    <mergeCell ref="C25:G25"/>
    <mergeCell ref="C26:C2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9"/>
  <sheetViews>
    <sheetView tabSelected="1" topLeftCell="A26" workbookViewId="0">
      <selection activeCell="B40" sqref="B40"/>
    </sheetView>
  </sheetViews>
  <sheetFormatPr defaultRowHeight="14.5"/>
  <cols>
    <col min="2" max="2" width="23.4531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0" width="12.90625" bestFit="1" customWidth="1"/>
    <col min="11" max="15" width="11.1796875" bestFit="1" customWidth="1"/>
    <col min="18" max="18" width="12.1796875" bestFit="1" customWidth="1"/>
  </cols>
  <sheetData>
    <row r="1" spans="2:18" ht="28.5">
      <c r="I1" s="5" t="s">
        <v>44</v>
      </c>
    </row>
    <row r="3" spans="2:18">
      <c r="C3" s="6" t="s">
        <v>45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148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147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10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I24</f>
        <v>99</v>
      </c>
      <c r="Q10" s="2">
        <f>SUM(C10:P10)</f>
        <v>752</v>
      </c>
      <c r="R10">
        <f>Q5+Q10</f>
        <v>2452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I23</f>
        <v>3</v>
      </c>
      <c r="Q11" s="2">
        <f>SUM(C11:P11)</f>
        <v>24</v>
      </c>
    </row>
    <row r="12" spans="2:18">
      <c r="B12" s="7" t="s">
        <v>155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>O12+P10</f>
        <v>752</v>
      </c>
      <c r="Q12" s="8">
        <f>Q10-P12</f>
        <v>0</v>
      </c>
    </row>
    <row r="13" spans="2:18">
      <c r="B13" s="7" t="s">
        <v>156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24</v>
      </c>
      <c r="Q13" s="2">
        <f>Q11-P13</f>
        <v>0</v>
      </c>
    </row>
    <row r="14" spans="2:18">
      <c r="B14" s="4" t="s">
        <v>63</v>
      </c>
      <c r="Q14" s="107"/>
    </row>
    <row r="15" spans="2:18">
      <c r="B15" s="1" t="s">
        <v>0</v>
      </c>
      <c r="C15">
        <f>C5+C10</f>
        <v>1264</v>
      </c>
      <c r="D15">
        <f t="shared" ref="D15" si="5">D5+D10</f>
        <v>0</v>
      </c>
      <c r="E15">
        <f t="shared" ref="E15:P15" si="6">E5+E10</f>
        <v>73</v>
      </c>
      <c r="F15">
        <f t="shared" si="6"/>
        <v>116</v>
      </c>
      <c r="G15">
        <f t="shared" si="6"/>
        <v>112</v>
      </c>
      <c r="H15">
        <f t="shared" si="6"/>
        <v>30</v>
      </c>
      <c r="I15">
        <f t="shared" si="6"/>
        <v>114</v>
      </c>
      <c r="J15">
        <f t="shared" si="6"/>
        <v>51</v>
      </c>
      <c r="K15">
        <f t="shared" si="6"/>
        <v>151</v>
      </c>
      <c r="L15">
        <f t="shared" si="6"/>
        <v>60</v>
      </c>
      <c r="M15">
        <f t="shared" si="6"/>
        <v>183</v>
      </c>
      <c r="N15">
        <f t="shared" si="6"/>
        <v>0</v>
      </c>
      <c r="O15">
        <f t="shared" si="6"/>
        <v>199</v>
      </c>
      <c r="P15">
        <f t="shared" si="6"/>
        <v>99</v>
      </c>
      <c r="Q15" s="2">
        <f>SUM(C15:P15)</f>
        <v>2452</v>
      </c>
    </row>
    <row r="16" spans="2:18" s="14" customFormat="1">
      <c r="B16" s="1" t="s">
        <v>1</v>
      </c>
      <c r="C16" s="14">
        <f>C8+C13</f>
        <v>33</v>
      </c>
      <c r="D16" s="14">
        <f>D6+D11</f>
        <v>0</v>
      </c>
      <c r="E16" s="14">
        <f t="shared" ref="E16:P16" si="7">E6+E11</f>
        <v>2</v>
      </c>
      <c r="F16" s="14">
        <f t="shared" si="7"/>
        <v>3</v>
      </c>
      <c r="G16" s="14">
        <f t="shared" si="7"/>
        <v>2</v>
      </c>
      <c r="H16" s="14">
        <f t="shared" si="7"/>
        <v>1</v>
      </c>
      <c r="I16" s="14">
        <f t="shared" si="7"/>
        <v>2</v>
      </c>
      <c r="J16" s="14">
        <f t="shared" si="7"/>
        <v>2</v>
      </c>
      <c r="K16" s="14">
        <f t="shared" si="7"/>
        <v>4</v>
      </c>
      <c r="L16" s="14">
        <f t="shared" si="7"/>
        <v>2</v>
      </c>
      <c r="M16" s="14">
        <f t="shared" si="7"/>
        <v>5</v>
      </c>
      <c r="N16" s="14">
        <f t="shared" si="7"/>
        <v>0</v>
      </c>
      <c r="O16" s="14">
        <f t="shared" si="7"/>
        <v>6</v>
      </c>
      <c r="P16" s="14">
        <f t="shared" si="7"/>
        <v>3</v>
      </c>
      <c r="Q16" s="2">
        <f>SUM(C16:P16)</f>
        <v>65</v>
      </c>
      <c r="R16" s="14">
        <f>SUM(D16:O16)</f>
        <v>29</v>
      </c>
    </row>
    <row r="17" spans="2:17">
      <c r="B17" s="7" t="s">
        <v>157</v>
      </c>
      <c r="C17" s="7">
        <f>C15</f>
        <v>1264</v>
      </c>
      <c r="D17" s="7">
        <f>C17+D15</f>
        <v>1264</v>
      </c>
      <c r="E17" s="7">
        <f t="shared" ref="E17:P17" si="8">D17+E15</f>
        <v>1337</v>
      </c>
      <c r="F17" s="7">
        <f t="shared" si="8"/>
        <v>1453</v>
      </c>
      <c r="G17" s="7">
        <f t="shared" si="8"/>
        <v>1565</v>
      </c>
      <c r="H17" s="7">
        <f t="shared" si="8"/>
        <v>1595</v>
      </c>
      <c r="I17" s="7">
        <f t="shared" si="8"/>
        <v>1709</v>
      </c>
      <c r="J17" s="7">
        <f t="shared" si="8"/>
        <v>1760</v>
      </c>
      <c r="K17" s="7">
        <f t="shared" si="8"/>
        <v>1911</v>
      </c>
      <c r="L17" s="7">
        <f t="shared" si="8"/>
        <v>1971</v>
      </c>
      <c r="M17" s="7">
        <f t="shared" si="8"/>
        <v>2154</v>
      </c>
      <c r="N17" s="7">
        <f t="shared" si="8"/>
        <v>2154</v>
      </c>
      <c r="O17" s="7">
        <f t="shared" si="8"/>
        <v>2353</v>
      </c>
      <c r="P17" s="7">
        <f t="shared" si="8"/>
        <v>2452</v>
      </c>
      <c r="Q17" s="8">
        <f>Q15-P17</f>
        <v>0</v>
      </c>
    </row>
    <row r="18" spans="2:17">
      <c r="B18" s="7" t="s">
        <v>158</v>
      </c>
      <c r="C18" s="16">
        <f>C16</f>
        <v>33</v>
      </c>
      <c r="D18" s="16">
        <f>C18+D16</f>
        <v>33</v>
      </c>
      <c r="E18" s="16">
        <f t="shared" ref="E18:P18" si="9">D18+E16</f>
        <v>35</v>
      </c>
      <c r="F18" s="16">
        <f t="shared" si="9"/>
        <v>38</v>
      </c>
      <c r="G18" s="16">
        <f t="shared" si="9"/>
        <v>40</v>
      </c>
      <c r="H18" s="16">
        <f t="shared" si="9"/>
        <v>41</v>
      </c>
      <c r="I18" s="16">
        <f t="shared" si="9"/>
        <v>43</v>
      </c>
      <c r="J18" s="16">
        <f t="shared" si="9"/>
        <v>45</v>
      </c>
      <c r="K18" s="16">
        <f t="shared" si="9"/>
        <v>49</v>
      </c>
      <c r="L18" s="16">
        <f t="shared" si="9"/>
        <v>51</v>
      </c>
      <c r="M18" s="16">
        <f t="shared" si="9"/>
        <v>56</v>
      </c>
      <c r="N18" s="16">
        <f t="shared" si="9"/>
        <v>56</v>
      </c>
      <c r="O18" s="16">
        <f t="shared" si="9"/>
        <v>62</v>
      </c>
      <c r="P18" s="16">
        <f t="shared" si="9"/>
        <v>65</v>
      </c>
      <c r="Q18" s="2">
        <f>Q16-P18</f>
        <v>0</v>
      </c>
    </row>
    <row r="19" spans="2:17" ht="15" thickBot="1">
      <c r="D19" s="120" t="s">
        <v>70</v>
      </c>
      <c r="E19" s="120"/>
      <c r="F19" s="120"/>
      <c r="G19" s="120"/>
      <c r="H19" s="120"/>
    </row>
    <row r="20" spans="2:17" ht="14.5" customHeight="1">
      <c r="B20" s="51"/>
      <c r="C20" s="121" t="s">
        <v>77</v>
      </c>
      <c r="D20" s="121" t="s">
        <v>6</v>
      </c>
      <c r="E20" s="52" t="s">
        <v>7</v>
      </c>
      <c r="F20" s="52" t="s">
        <v>8</v>
      </c>
      <c r="G20" s="52" t="s">
        <v>9</v>
      </c>
      <c r="H20" s="52" t="s">
        <v>128</v>
      </c>
      <c r="I20" s="53" t="s">
        <v>5</v>
      </c>
    </row>
    <row r="21" spans="2:17" ht="15.5">
      <c r="B21" s="54" t="s">
        <v>13</v>
      </c>
      <c r="C21" s="122"/>
      <c r="D21" s="122"/>
      <c r="E21" s="10"/>
      <c r="F21" s="10"/>
      <c r="G21" s="10"/>
      <c r="H21" s="55"/>
      <c r="I21" s="55"/>
    </row>
    <row r="22" spans="2:17" ht="15.5">
      <c r="B22" s="56" t="s">
        <v>10</v>
      </c>
      <c r="H22" s="57"/>
      <c r="I22" s="57"/>
    </row>
    <row r="23" spans="2:17" ht="16">
      <c r="B23" s="58" t="s">
        <v>68</v>
      </c>
      <c r="C23" s="12">
        <v>5</v>
      </c>
      <c r="D23" s="12">
        <v>0</v>
      </c>
      <c r="E23" s="12">
        <v>0</v>
      </c>
      <c r="F23" s="12">
        <v>2</v>
      </c>
      <c r="G23" s="12">
        <v>1</v>
      </c>
      <c r="H23" s="59">
        <v>0</v>
      </c>
      <c r="I23" s="59">
        <f>SUM(E23:H23)</f>
        <v>3</v>
      </c>
    </row>
    <row r="24" spans="2:17" ht="16">
      <c r="B24" s="58" t="s">
        <v>69</v>
      </c>
      <c r="C24" s="12">
        <v>143</v>
      </c>
      <c r="D24">
        <v>0</v>
      </c>
      <c r="E24">
        <v>0</v>
      </c>
      <c r="F24">
        <f>50+25</f>
        <v>75</v>
      </c>
      <c r="G24">
        <v>24</v>
      </c>
      <c r="H24" s="59">
        <v>0</v>
      </c>
      <c r="I24" s="59">
        <f t="shared" ref="H24:I27" si="10">SUM(E24:H24)</f>
        <v>99</v>
      </c>
    </row>
    <row r="25" spans="2:17" ht="16">
      <c r="B25" s="56" t="s">
        <v>11</v>
      </c>
      <c r="H25" s="59">
        <f t="shared" si="10"/>
        <v>0</v>
      </c>
      <c r="I25" s="59">
        <f t="shared" si="10"/>
        <v>0</v>
      </c>
    </row>
    <row r="26" spans="2:17" ht="16">
      <c r="B26" s="58" t="s">
        <v>68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59">
        <f t="shared" si="10"/>
        <v>0</v>
      </c>
      <c r="I26" s="59">
        <f t="shared" si="10"/>
        <v>0</v>
      </c>
    </row>
    <row r="27" spans="2:17" ht="16">
      <c r="B27" s="58" t="s">
        <v>69</v>
      </c>
      <c r="C27" s="12">
        <v>55</v>
      </c>
      <c r="D27">
        <v>0</v>
      </c>
      <c r="E27">
        <v>0</v>
      </c>
      <c r="F27">
        <v>0</v>
      </c>
      <c r="G27">
        <v>0</v>
      </c>
      <c r="H27" s="59">
        <f t="shared" si="10"/>
        <v>0</v>
      </c>
      <c r="I27" s="59">
        <f t="shared" si="10"/>
        <v>0</v>
      </c>
    </row>
    <row r="28" spans="2:17">
      <c r="B28" s="60"/>
      <c r="H28" s="57"/>
      <c r="I28" s="57"/>
    </row>
    <row r="29" spans="2:17" ht="15.5">
      <c r="B29" s="56" t="s">
        <v>5</v>
      </c>
      <c r="H29" s="57"/>
      <c r="I29" s="57"/>
    </row>
    <row r="30" spans="2:17">
      <c r="B30" s="58" t="s">
        <v>68</v>
      </c>
      <c r="C30">
        <f>C23+C26</f>
        <v>6</v>
      </c>
      <c r="D30">
        <f>SUM(D23+D26)</f>
        <v>0</v>
      </c>
      <c r="E30">
        <f t="shared" ref="E30:G30" si="11">SUM(E23+E26)</f>
        <v>0</v>
      </c>
      <c r="F30">
        <f t="shared" si="11"/>
        <v>2</v>
      </c>
      <c r="G30">
        <f t="shared" si="11"/>
        <v>1</v>
      </c>
      <c r="H30" s="57">
        <v>0</v>
      </c>
      <c r="I30" s="57">
        <f>SUM(E30:H30)</f>
        <v>3</v>
      </c>
    </row>
    <row r="31" spans="2:17" ht="15" thickBot="1">
      <c r="B31" s="61" t="s">
        <v>69</v>
      </c>
      <c r="C31" s="62">
        <f>C24+C27</f>
        <v>198</v>
      </c>
      <c r="D31" s="62">
        <f>D27+D24</f>
        <v>0</v>
      </c>
      <c r="E31" s="62">
        <f t="shared" ref="E31:G31" si="12">E27+E24</f>
        <v>0</v>
      </c>
      <c r="F31" s="62">
        <f t="shared" si="12"/>
        <v>75</v>
      </c>
      <c r="G31" s="62">
        <f t="shared" si="12"/>
        <v>24</v>
      </c>
      <c r="H31" s="63">
        <v>0</v>
      </c>
      <c r="I31" s="63">
        <f>SUM(E31:H31)</f>
        <v>99</v>
      </c>
    </row>
    <row r="33" spans="2:10" ht="15" thickBot="1"/>
    <row r="34" spans="2:10">
      <c r="B34" s="71" t="s">
        <v>83</v>
      </c>
      <c r="H34" s="87" t="s">
        <v>99</v>
      </c>
      <c r="I34" s="88" t="s">
        <v>97</v>
      </c>
      <c r="J34" s="89" t="s">
        <v>98</v>
      </c>
    </row>
    <row r="35" spans="2:10" ht="58">
      <c r="B35" s="90" t="s">
        <v>116</v>
      </c>
      <c r="H35" s="100" t="s">
        <v>87</v>
      </c>
      <c r="I35" s="99" t="s">
        <v>100</v>
      </c>
      <c r="J35" s="57" t="s">
        <v>110</v>
      </c>
    </row>
    <row r="36" spans="2:10">
      <c r="B36" t="s">
        <v>117</v>
      </c>
      <c r="H36" s="100" t="s">
        <v>101</v>
      </c>
      <c r="I36" s="99" t="s">
        <v>102</v>
      </c>
      <c r="J36" s="57" t="s">
        <v>111</v>
      </c>
    </row>
    <row r="37" spans="2:10" ht="29">
      <c r="B37" t="s">
        <v>118</v>
      </c>
      <c r="H37" s="100" t="s">
        <v>103</v>
      </c>
      <c r="I37" s="99" t="s">
        <v>104</v>
      </c>
      <c r="J37" s="57" t="s">
        <v>113</v>
      </c>
    </row>
    <row r="38" spans="2:10" ht="29">
      <c r="B38" t="s">
        <v>119</v>
      </c>
      <c r="H38" s="100" t="s">
        <v>88</v>
      </c>
      <c r="I38" s="99" t="s">
        <v>162</v>
      </c>
      <c r="J38" s="57" t="s">
        <v>114</v>
      </c>
    </row>
    <row r="39" spans="2:10" ht="15" thickBot="1">
      <c r="H39" s="100" t="s">
        <v>89</v>
      </c>
      <c r="I39" s="99" t="s">
        <v>105</v>
      </c>
      <c r="J39" s="63" t="s">
        <v>140</v>
      </c>
    </row>
    <row r="40" spans="2:10" ht="29.5" thickBot="1">
      <c r="H40" s="100" t="s">
        <v>90</v>
      </c>
      <c r="I40" s="99" t="s">
        <v>105</v>
      </c>
      <c r="J40" s="63" t="s">
        <v>140</v>
      </c>
    </row>
    <row r="41" spans="2:10" ht="29">
      <c r="D41" s="45"/>
      <c r="H41" s="100" t="s">
        <v>106</v>
      </c>
      <c r="I41" s="99" t="s">
        <v>107</v>
      </c>
      <c r="J41" s="57" t="s">
        <v>115</v>
      </c>
    </row>
    <row r="42" spans="2:10" ht="15" thickBot="1">
      <c r="H42" s="101" t="s">
        <v>108</v>
      </c>
      <c r="I42" s="102" t="s">
        <v>109</v>
      </c>
      <c r="J42" s="63" t="s">
        <v>112</v>
      </c>
    </row>
    <row r="45" spans="2:10">
      <c r="D45" s="99"/>
      <c r="E45" s="99"/>
      <c r="F45" s="99"/>
      <c r="G45" s="99"/>
    </row>
    <row r="46" spans="2:10">
      <c r="D46" s="99"/>
      <c r="E46" s="99"/>
      <c r="F46" s="99"/>
      <c r="G46" s="99"/>
    </row>
    <row r="47" spans="2:10">
      <c r="D47" s="99"/>
      <c r="E47" s="99"/>
      <c r="F47" s="99"/>
      <c r="G47" s="99"/>
    </row>
    <row r="48" spans="2:10">
      <c r="D48" s="99"/>
      <c r="E48" s="99"/>
      <c r="F48" s="99"/>
      <c r="G48" s="99"/>
    </row>
    <row r="49" spans="2:7">
      <c r="D49" s="99"/>
      <c r="E49" s="99"/>
      <c r="F49" s="99"/>
      <c r="G49" s="99"/>
    </row>
    <row r="50" spans="2:7">
      <c r="D50" s="99"/>
      <c r="E50" s="99"/>
      <c r="F50" s="99"/>
      <c r="G50" s="99"/>
    </row>
    <row r="51" spans="2:7">
      <c r="D51" s="99"/>
      <c r="E51" s="99"/>
      <c r="F51" s="99"/>
      <c r="G51" s="99"/>
    </row>
    <row r="52" spans="2:7">
      <c r="B52" s="90"/>
      <c r="D52" s="99"/>
      <c r="E52" s="99"/>
      <c r="F52" s="99"/>
      <c r="G52" s="99"/>
    </row>
    <row r="59" spans="2:7" ht="16">
      <c r="D59" s="73"/>
    </row>
  </sheetData>
  <mergeCells count="3">
    <mergeCell ref="D19:H19"/>
    <mergeCell ref="C20:C21"/>
    <mergeCell ref="D20:D21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M26"/>
  <sheetViews>
    <sheetView workbookViewId="0">
      <selection activeCell="D17" sqref="D17"/>
    </sheetView>
  </sheetViews>
  <sheetFormatPr defaultRowHeight="14.5"/>
  <cols>
    <col min="2" max="2" width="14.54296875" bestFit="1" customWidth="1"/>
    <col min="3" max="3" width="13.90625" style="14" bestFit="1" customWidth="1"/>
    <col min="4" max="5" width="12.1796875" bestFit="1" customWidth="1"/>
    <col min="6" max="6" width="13.81640625" style="14" bestFit="1" customWidth="1"/>
    <col min="7" max="7" width="13.81640625" bestFit="1" customWidth="1"/>
    <col min="12" max="12" width="11.1796875" bestFit="1" customWidth="1"/>
    <col min="13" max="13" width="12.1796875" bestFit="1" customWidth="1"/>
  </cols>
  <sheetData>
    <row r="1" spans="2:13">
      <c r="C1" s="112" t="s">
        <v>145</v>
      </c>
      <c r="D1" s="113"/>
      <c r="E1" s="113"/>
      <c r="F1" s="113"/>
    </row>
    <row r="3" spans="2:13">
      <c r="C3" s="14" t="s">
        <v>14</v>
      </c>
      <c r="F3" s="14" t="s">
        <v>15</v>
      </c>
      <c r="I3" t="s">
        <v>146</v>
      </c>
    </row>
    <row r="4" spans="2:13">
      <c r="C4" s="93"/>
      <c r="I4" t="s">
        <v>63</v>
      </c>
      <c r="J4" s="15">
        <f>F8/C8</f>
        <v>1.1823751354979641</v>
      </c>
    </row>
    <row r="5" spans="2:13">
      <c r="B5" t="s">
        <v>16</v>
      </c>
      <c r="C5" s="94">
        <v>43407465</v>
      </c>
      <c r="D5" s="95"/>
      <c r="E5" s="95"/>
      <c r="F5" s="14">
        <f>44636779.71+325041</f>
        <v>44961820.710000001</v>
      </c>
      <c r="G5" s="95"/>
      <c r="I5" t="s">
        <v>16</v>
      </c>
      <c r="J5" s="15">
        <f>F5/C5</f>
        <v>1.0358084884708194</v>
      </c>
    </row>
    <row r="6" spans="2:13">
      <c r="B6" t="s">
        <v>17</v>
      </c>
      <c r="C6" s="93">
        <f>22445000+1718661</f>
        <v>24163661</v>
      </c>
      <c r="D6" s="95"/>
      <c r="E6" s="95"/>
      <c r="F6" s="14">
        <v>34932598.550000004</v>
      </c>
      <c r="G6" s="95"/>
      <c r="I6" t="s">
        <v>17</v>
      </c>
      <c r="J6" s="15">
        <f>F6/C6</f>
        <v>1.445666637600983</v>
      </c>
    </row>
    <row r="7" spans="2:13">
      <c r="C7" s="93"/>
    </row>
    <row r="8" spans="2:13">
      <c r="B8" t="s">
        <v>5</v>
      </c>
      <c r="C8" s="93">
        <f>SUM(C5:C7)</f>
        <v>67571126</v>
      </c>
      <c r="F8" s="14">
        <f>SUM(F5:F7)</f>
        <v>79894419.260000005</v>
      </c>
    </row>
    <row r="9" spans="2:13">
      <c r="C9" s="93"/>
    </row>
    <row r="10" spans="2:13">
      <c r="C10" s="114" t="s">
        <v>121</v>
      </c>
      <c r="D10" s="114"/>
      <c r="E10" s="114"/>
      <c r="F10" s="114"/>
    </row>
    <row r="11" spans="2:13">
      <c r="C11" s="93"/>
    </row>
    <row r="12" spans="2:13">
      <c r="C12" s="96" t="s">
        <v>84</v>
      </c>
      <c r="D12" t="s">
        <v>124</v>
      </c>
      <c r="F12" s="109" t="s">
        <v>85</v>
      </c>
    </row>
    <row r="13" spans="2:13">
      <c r="C13" s="93"/>
      <c r="J13" s="15"/>
      <c r="L13" s="16"/>
    </row>
    <row r="14" spans="2:13">
      <c r="B14" t="s">
        <v>122</v>
      </c>
      <c r="C14" s="93">
        <v>47580253.579999998</v>
      </c>
      <c r="D14" s="15">
        <f>(F14-C14)/C14</f>
        <v>0.6791507663082953</v>
      </c>
      <c r="E14" s="95"/>
      <c r="F14" s="110">
        <f>F8</f>
        <v>79894419.260000005</v>
      </c>
      <c r="G14" s="95"/>
      <c r="J14" s="15"/>
    </row>
    <row r="15" spans="2:13">
      <c r="B15" t="s">
        <v>123</v>
      </c>
      <c r="C15" s="93">
        <v>4406454</v>
      </c>
      <c r="D15" s="15">
        <f t="shared" ref="D15:D17" si="0">(F15-C15)/C15</f>
        <v>0.13085283540915213</v>
      </c>
      <c r="E15" s="95"/>
      <c r="F15" s="111">
        <v>4983051</v>
      </c>
      <c r="G15" s="95"/>
      <c r="J15" s="15"/>
      <c r="M15" s="105"/>
    </row>
    <row r="16" spans="2:13">
      <c r="C16" s="93"/>
      <c r="D16" s="15"/>
    </row>
    <row r="17" spans="2:10">
      <c r="B17" t="s">
        <v>5</v>
      </c>
      <c r="C17" s="93">
        <f>SUM(C14:C16)</f>
        <v>51986707.579999998</v>
      </c>
      <c r="D17" s="15">
        <f t="shared" si="0"/>
        <v>0.63267639385290741</v>
      </c>
      <c r="F17" s="14">
        <f>SUM(F14:F16)</f>
        <v>84877470.260000005</v>
      </c>
    </row>
    <row r="19" spans="2:10">
      <c r="C19" s="113" t="s">
        <v>125</v>
      </c>
      <c r="D19" s="113"/>
      <c r="E19" s="113"/>
      <c r="F19" s="113"/>
    </row>
    <row r="21" spans="2:10">
      <c r="C21" t="s">
        <v>126</v>
      </c>
      <c r="E21" t="s">
        <v>127</v>
      </c>
      <c r="G21" s="104" t="s">
        <v>144</v>
      </c>
    </row>
    <row r="22" spans="2:10">
      <c r="J22" s="15"/>
    </row>
    <row r="23" spans="2:10">
      <c r="B23" t="s">
        <v>10</v>
      </c>
      <c r="C23" s="14">
        <v>123995.04999999999</v>
      </c>
      <c r="D23" s="15">
        <f>(E23-C23)/C23</f>
        <v>0.85151471772461906</v>
      </c>
      <c r="E23" s="14">
        <v>229578.66</v>
      </c>
      <c r="F23" s="15">
        <f>(G23-E23)/E23</f>
        <v>0.13826533354624507</v>
      </c>
      <c r="G23" s="14">
        <v>261321.43</v>
      </c>
      <c r="H23" s="15"/>
      <c r="J23" s="15"/>
    </row>
    <row r="26" spans="2:10">
      <c r="B26" t="s">
        <v>143</v>
      </c>
      <c r="C26" s="108">
        <v>2.8000000000000001E-2</v>
      </c>
      <c r="E26" s="108">
        <v>4.2000000000000003E-2</v>
      </c>
      <c r="G26" s="108">
        <v>0.04</v>
      </c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J20"/>
  <sheetViews>
    <sheetView topLeftCell="B3" workbookViewId="0">
      <selection activeCell="B13" sqref="B13"/>
    </sheetView>
  </sheetViews>
  <sheetFormatPr defaultRowHeight="14.5"/>
  <cols>
    <col min="2" max="2" width="71.90625" bestFit="1" customWidth="1"/>
    <col min="3" max="3" width="11.7265625" bestFit="1" customWidth="1"/>
    <col min="4" max="4" width="10.453125" bestFit="1" customWidth="1"/>
    <col min="5" max="5" width="11.1796875" bestFit="1" customWidth="1"/>
    <col min="6" max="7" width="9.6328125" bestFit="1" customWidth="1"/>
    <col min="8" max="8" width="10.453125" bestFit="1" customWidth="1"/>
    <col min="9" max="9" width="12.08984375" bestFit="1" customWidth="1"/>
    <col min="10" max="10" width="14.81640625" bestFit="1" customWidth="1"/>
  </cols>
  <sheetData>
    <row r="2" spans="2:10" ht="15" thickBot="1"/>
    <row r="3" spans="2:10" ht="21.5" thickBot="1">
      <c r="B3" s="17" t="s">
        <v>59</v>
      </c>
      <c r="C3" s="18"/>
      <c r="D3" s="19"/>
      <c r="E3" s="19"/>
    </row>
    <row r="4" spans="2:10" ht="19" thickBot="1">
      <c r="B4" s="20"/>
      <c r="C4" s="123" t="s">
        <v>70</v>
      </c>
      <c r="D4" s="124"/>
      <c r="E4" s="124"/>
    </row>
    <row r="5" spans="2:10" ht="15" thickBot="1">
      <c r="B5" s="21"/>
      <c r="C5" s="22"/>
      <c r="D5" s="23"/>
      <c r="E5" s="23"/>
    </row>
    <row r="6" spans="2:10" ht="15" thickBot="1">
      <c r="C6" s="25" t="s">
        <v>14</v>
      </c>
      <c r="D6" s="125" t="s">
        <v>19</v>
      </c>
      <c r="E6" s="125"/>
      <c r="F6" s="125"/>
      <c r="G6" s="125"/>
      <c r="H6" s="125"/>
      <c r="I6" s="125"/>
      <c r="J6" s="103" t="s">
        <v>120</v>
      </c>
    </row>
    <row r="7" spans="2:10" ht="16.5" thickBot="1">
      <c r="B7" s="24" t="s">
        <v>18</v>
      </c>
      <c r="C7" s="27"/>
      <c r="D7" s="29" t="s">
        <v>71</v>
      </c>
      <c r="E7" s="29" t="s">
        <v>72</v>
      </c>
      <c r="F7" s="29" t="s">
        <v>73</v>
      </c>
      <c r="G7" s="29" t="s">
        <v>74</v>
      </c>
      <c r="H7" s="29" t="s">
        <v>141</v>
      </c>
      <c r="I7" s="29" t="s">
        <v>53</v>
      </c>
    </row>
    <row r="8" spans="2:10">
      <c r="B8" s="26" t="s">
        <v>20</v>
      </c>
      <c r="C8" s="27">
        <f>Inflow!C32</f>
        <v>18329400</v>
      </c>
      <c r="D8" s="28">
        <f>Inflow!E32</f>
        <v>0</v>
      </c>
      <c r="E8" s="28">
        <f>Inflow!F32</f>
        <v>70000</v>
      </c>
      <c r="F8" s="28">
        <f>Inflow!G32</f>
        <v>40000</v>
      </c>
      <c r="G8" s="28">
        <f>Inflow!H32</f>
        <v>40000</v>
      </c>
      <c r="H8" s="28">
        <f>Inflow!I32</f>
        <v>9024000</v>
      </c>
      <c r="I8" s="28">
        <f>SUM(D8:H8)</f>
        <v>9174000</v>
      </c>
      <c r="J8" s="16">
        <f>C8-I8</f>
        <v>9155400</v>
      </c>
    </row>
    <row r="9" spans="2:10">
      <c r="B9" s="26" t="s">
        <v>21</v>
      </c>
      <c r="C9" s="27">
        <f>Inflow!C34</f>
        <v>11000000</v>
      </c>
      <c r="D9" s="27">
        <f>Inflow!E34</f>
        <v>355520</v>
      </c>
      <c r="E9" s="27">
        <f>Inflow!F34</f>
        <v>607764</v>
      </c>
      <c r="F9" s="27">
        <f>Inflow!G34</f>
        <v>2608847</v>
      </c>
      <c r="G9" s="27">
        <f>Inflow!H34</f>
        <v>4051004</v>
      </c>
      <c r="H9" s="27">
        <f>Inflow!I34</f>
        <v>1730425</v>
      </c>
      <c r="I9" s="28">
        <f>SUM(D9:H9)</f>
        <v>9353560</v>
      </c>
      <c r="J9" s="16">
        <f t="shared" ref="J9:J10" si="0">C9-I9</f>
        <v>1646440</v>
      </c>
    </row>
    <row r="10" spans="2:10">
      <c r="B10" s="26" t="s">
        <v>24</v>
      </c>
      <c r="C10" s="27">
        <f>Inflow!C36</f>
        <v>500000</v>
      </c>
      <c r="D10" s="27">
        <f>Inflow!E36</f>
        <v>0</v>
      </c>
      <c r="E10" s="27">
        <f>Inflow!F36</f>
        <v>34880</v>
      </c>
      <c r="F10" s="27">
        <f>Inflow!G36</f>
        <v>0</v>
      </c>
      <c r="G10" s="27">
        <f>Inflow!H36</f>
        <v>0</v>
      </c>
      <c r="H10" s="27"/>
      <c r="I10" s="28">
        <f t="shared" ref="I10" si="1">SUM(D10:G10)</f>
        <v>34880</v>
      </c>
      <c r="J10" s="16">
        <f t="shared" si="0"/>
        <v>465120</v>
      </c>
    </row>
    <row r="11" spans="2:10" ht="15" thickBot="1">
      <c r="B11" s="26" t="s">
        <v>53</v>
      </c>
      <c r="C11" s="49">
        <f t="shared" ref="C11:J11" si="2">SUM(C8:C10)</f>
        <v>29829400</v>
      </c>
      <c r="D11" s="49">
        <f t="shared" si="2"/>
        <v>355520</v>
      </c>
      <c r="E11" s="49">
        <f t="shared" si="2"/>
        <v>712644</v>
      </c>
      <c r="F11" s="49">
        <f t="shared" si="2"/>
        <v>2648847</v>
      </c>
      <c r="G11" s="49">
        <f t="shared" si="2"/>
        <v>4091004</v>
      </c>
      <c r="H11" s="49">
        <f t="shared" si="2"/>
        <v>10754425</v>
      </c>
      <c r="I11" s="49">
        <f t="shared" si="2"/>
        <v>18562440</v>
      </c>
      <c r="J11" s="16">
        <f t="shared" si="2"/>
        <v>11266960</v>
      </c>
    </row>
    <row r="12" spans="2:10" ht="16.5" thickBot="1">
      <c r="B12" s="24" t="s">
        <v>161</v>
      </c>
      <c r="C12" s="27"/>
      <c r="D12" s="29"/>
      <c r="E12" s="29"/>
      <c r="J12" s="14">
        <f>11350000+700000+1500000+3000000</f>
        <v>16550000</v>
      </c>
    </row>
    <row r="13" spans="2:10">
      <c r="B13" s="26"/>
      <c r="C13" s="27"/>
      <c r="D13" s="29"/>
      <c r="E13" s="29"/>
    </row>
    <row r="14" spans="2:10" ht="15" thickBot="1">
      <c r="B14" s="35"/>
      <c r="C14" s="27"/>
      <c r="D14" s="29"/>
      <c r="E14" s="29"/>
    </row>
    <row r="15" spans="2:10" ht="15" thickBot="1">
      <c r="B15" s="26" t="s">
        <v>22</v>
      </c>
      <c r="C15" s="27"/>
      <c r="D15" s="29"/>
      <c r="E15" s="29"/>
      <c r="J15" s="70">
        <f>SUM(C16:C18)</f>
        <v>14828607</v>
      </c>
    </row>
    <row r="16" spans="2:10" ht="15" thickBot="1">
      <c r="B16" s="33" t="s">
        <v>26</v>
      </c>
      <c r="C16" s="97">
        <v>10986723</v>
      </c>
    </row>
    <row r="17" spans="2:10" ht="15" thickBot="1">
      <c r="B17" s="33" t="s">
        <v>25</v>
      </c>
      <c r="C17" s="97">
        <v>1812040</v>
      </c>
    </row>
    <row r="18" spans="2:10" ht="15" thickBot="1">
      <c r="B18" s="33" t="s">
        <v>27</v>
      </c>
      <c r="C18" s="98">
        <v>2029844</v>
      </c>
    </row>
    <row r="20" spans="2:10">
      <c r="B20" s="30" t="s">
        <v>142</v>
      </c>
      <c r="J20" s="70">
        <f>J15-J12</f>
        <v>-1721393</v>
      </c>
    </row>
  </sheetData>
  <mergeCells count="2">
    <mergeCell ref="C4:E4"/>
    <mergeCell ref="D6:I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K46"/>
  <sheetViews>
    <sheetView topLeftCell="A19" workbookViewId="0">
      <selection activeCell="I32" sqref="I32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8" max="8" width="12.1796875" bestFit="1" customWidth="1"/>
    <col min="9" max="10" width="12.1796875" customWidth="1"/>
    <col min="11" max="11" width="11.1796875" bestFit="1" customWidth="1"/>
  </cols>
  <sheetData>
    <row r="3" spans="2:11" ht="15" thickBot="1"/>
    <row r="4" spans="2:11" ht="21.5" thickBot="1">
      <c r="B4" s="17" t="s">
        <v>62</v>
      </c>
      <c r="C4" s="18"/>
      <c r="D4" s="38"/>
      <c r="E4" s="19"/>
      <c r="F4" s="19"/>
      <c r="G4" s="19"/>
      <c r="H4" s="19"/>
      <c r="I4" s="19"/>
      <c r="J4" s="19"/>
      <c r="K4" s="19"/>
    </row>
    <row r="5" spans="2:11" ht="19" thickBot="1">
      <c r="B5" s="20"/>
      <c r="C5" s="123" t="s">
        <v>86</v>
      </c>
      <c r="D5" s="124"/>
      <c r="E5" s="124"/>
      <c r="F5" s="124"/>
      <c r="G5" s="47"/>
      <c r="H5" s="47"/>
      <c r="I5" s="47"/>
      <c r="J5" s="47"/>
      <c r="K5" s="47"/>
    </row>
    <row r="6" spans="2:11" ht="15" thickBot="1">
      <c r="B6" s="21"/>
      <c r="C6" s="22"/>
      <c r="D6" s="22"/>
      <c r="E6" s="126" t="s">
        <v>52</v>
      </c>
      <c r="F6" s="126"/>
      <c r="G6" s="126"/>
      <c r="H6" s="48"/>
      <c r="I6" s="48"/>
      <c r="J6" s="48"/>
      <c r="K6" s="48"/>
    </row>
    <row r="7" spans="2:11" ht="38" customHeight="1">
      <c r="B7" s="74" t="s">
        <v>18</v>
      </c>
      <c r="C7" s="75" t="s">
        <v>14</v>
      </c>
      <c r="D7" s="75"/>
      <c r="E7" s="127" t="s">
        <v>19</v>
      </c>
      <c r="F7" s="127"/>
      <c r="G7" s="127"/>
      <c r="H7" s="127"/>
      <c r="I7" s="127"/>
      <c r="J7" s="127"/>
      <c r="K7" s="76" t="s">
        <v>120</v>
      </c>
    </row>
    <row r="8" spans="2:11">
      <c r="B8" s="77" t="s">
        <v>55</v>
      </c>
      <c r="C8" s="78"/>
      <c r="D8" s="78"/>
      <c r="E8" s="79" t="s">
        <v>71</v>
      </c>
      <c r="F8" s="79" t="s">
        <v>72</v>
      </c>
      <c r="G8" s="79" t="s">
        <v>73</v>
      </c>
      <c r="H8" s="79" t="s">
        <v>74</v>
      </c>
      <c r="I8" s="79" t="s">
        <v>141</v>
      </c>
      <c r="J8" s="79" t="s">
        <v>5</v>
      </c>
      <c r="K8" s="80"/>
    </row>
    <row r="9" spans="2:11">
      <c r="B9" s="77" t="s">
        <v>23</v>
      </c>
      <c r="C9" s="78"/>
      <c r="D9" s="78"/>
      <c r="E9" s="79"/>
      <c r="F9" s="79"/>
      <c r="G9" s="79"/>
      <c r="H9" s="79"/>
      <c r="I9" s="79"/>
      <c r="J9" s="79"/>
      <c r="K9" s="79"/>
    </row>
    <row r="10" spans="2:11">
      <c r="B10" s="81" t="s">
        <v>78</v>
      </c>
      <c r="C10" s="82">
        <v>1800000</v>
      </c>
      <c r="D10" s="78"/>
      <c r="E10" s="36"/>
      <c r="F10" s="36"/>
      <c r="G10" s="36"/>
      <c r="H10" s="36"/>
      <c r="I10" s="36"/>
      <c r="J10" s="79">
        <f>SUM(E10:I10)</f>
        <v>0</v>
      </c>
      <c r="K10" s="79">
        <f>C10-J10</f>
        <v>1800000</v>
      </c>
    </row>
    <row r="11" spans="2:11">
      <c r="B11" s="83" t="s">
        <v>79</v>
      </c>
      <c r="C11" s="82">
        <v>1000000</v>
      </c>
      <c r="D11" s="80"/>
      <c r="E11" s="80"/>
      <c r="F11" s="80"/>
      <c r="G11" s="80"/>
      <c r="H11" s="80"/>
      <c r="I11" s="80"/>
      <c r="J11" s="79">
        <f t="shared" ref="J11:J30" si="0">SUM(E11:I11)</f>
        <v>0</v>
      </c>
      <c r="K11" s="79">
        <f t="shared" ref="K11:K32" si="1">C11-J11</f>
        <v>1000000</v>
      </c>
    </row>
    <row r="12" spans="2:11">
      <c r="B12" s="81" t="s">
        <v>81</v>
      </c>
      <c r="C12" s="82">
        <v>825000</v>
      </c>
      <c r="D12" s="78"/>
      <c r="E12" s="36"/>
      <c r="F12" s="36"/>
      <c r="G12" s="36"/>
      <c r="H12" s="36"/>
      <c r="I12" s="36"/>
      <c r="J12" s="79">
        <f t="shared" si="0"/>
        <v>0</v>
      </c>
      <c r="K12" s="79">
        <f t="shared" si="1"/>
        <v>825000</v>
      </c>
    </row>
    <row r="13" spans="2:11">
      <c r="B13" s="81" t="s">
        <v>46</v>
      </c>
      <c r="C13" s="82">
        <v>680400</v>
      </c>
      <c r="D13" s="78"/>
      <c r="E13" s="79"/>
      <c r="F13" s="79"/>
      <c r="G13" s="79"/>
      <c r="H13" s="79"/>
      <c r="I13" s="79"/>
      <c r="J13" s="79">
        <f t="shared" si="0"/>
        <v>0</v>
      </c>
      <c r="K13" s="79">
        <f t="shared" si="1"/>
        <v>680400</v>
      </c>
    </row>
    <row r="14" spans="2:11">
      <c r="B14" s="83" t="s">
        <v>47</v>
      </c>
      <c r="C14" s="82">
        <v>1080000</v>
      </c>
      <c r="D14" s="78"/>
      <c r="E14" s="79"/>
      <c r="F14" s="79"/>
      <c r="G14" s="79"/>
      <c r="H14" s="79"/>
      <c r="I14" s="79">
        <v>1080000</v>
      </c>
      <c r="J14" s="79">
        <f t="shared" si="0"/>
        <v>1080000</v>
      </c>
      <c r="K14" s="79">
        <f t="shared" si="1"/>
        <v>0</v>
      </c>
    </row>
    <row r="15" spans="2:11">
      <c r="B15" s="83" t="s">
        <v>91</v>
      </c>
      <c r="C15" s="82">
        <v>700000</v>
      </c>
      <c r="D15" s="78"/>
      <c r="E15" s="79"/>
      <c r="F15" s="79"/>
      <c r="G15" s="79"/>
      <c r="H15" s="79"/>
      <c r="I15" s="79"/>
      <c r="J15" s="79">
        <f t="shared" si="0"/>
        <v>0</v>
      </c>
      <c r="K15" s="79">
        <f t="shared" si="1"/>
        <v>700000</v>
      </c>
    </row>
    <row r="16" spans="2:11">
      <c r="B16" s="81" t="s">
        <v>92</v>
      </c>
      <c r="C16" s="82">
        <v>800000</v>
      </c>
      <c r="D16" s="78"/>
      <c r="E16" s="79"/>
      <c r="F16" s="79"/>
      <c r="G16" s="79"/>
      <c r="H16" s="79"/>
      <c r="I16" s="79"/>
      <c r="J16" s="79">
        <f t="shared" si="0"/>
        <v>0</v>
      </c>
      <c r="K16" s="79">
        <f t="shared" si="1"/>
        <v>800000</v>
      </c>
    </row>
    <row r="17" spans="2:11">
      <c r="B17" s="81" t="s">
        <v>159</v>
      </c>
      <c r="C17" s="82">
        <v>2200000</v>
      </c>
      <c r="D17" s="80"/>
      <c r="E17" s="80"/>
      <c r="F17" s="80"/>
      <c r="G17" s="80"/>
      <c r="H17" s="80"/>
      <c r="I17" s="79">
        <v>2200000</v>
      </c>
      <c r="J17" s="79">
        <f t="shared" si="0"/>
        <v>2200000</v>
      </c>
      <c r="K17" s="79">
        <f t="shared" si="1"/>
        <v>0</v>
      </c>
    </row>
    <row r="18" spans="2:11">
      <c r="B18" s="81" t="s">
        <v>80</v>
      </c>
      <c r="C18" s="82">
        <v>750000</v>
      </c>
      <c r="D18" s="78"/>
      <c r="E18" s="36"/>
      <c r="F18" s="36"/>
      <c r="G18" s="36"/>
      <c r="H18" s="36"/>
      <c r="I18" s="36"/>
      <c r="J18" s="79">
        <f t="shared" si="0"/>
        <v>0</v>
      </c>
      <c r="K18" s="79">
        <f t="shared" si="1"/>
        <v>750000</v>
      </c>
    </row>
    <row r="19" spans="2:11">
      <c r="B19" s="81" t="s">
        <v>50</v>
      </c>
      <c r="C19" s="82">
        <v>5400000</v>
      </c>
      <c r="D19" s="84"/>
      <c r="E19" s="79"/>
      <c r="F19" s="79"/>
      <c r="G19" s="79"/>
      <c r="H19" s="79"/>
      <c r="I19" s="79">
        <v>5400000</v>
      </c>
      <c r="J19" s="79">
        <f t="shared" si="0"/>
        <v>5400000</v>
      </c>
      <c r="K19" s="79">
        <f t="shared" si="1"/>
        <v>0</v>
      </c>
    </row>
    <row r="20" spans="2:11">
      <c r="B20" s="81" t="s">
        <v>93</v>
      </c>
      <c r="C20" s="82">
        <v>1750000</v>
      </c>
      <c r="D20" s="84"/>
      <c r="E20" s="79"/>
      <c r="F20" s="79"/>
      <c r="G20" s="79"/>
      <c r="H20" s="79"/>
      <c r="I20" s="79"/>
      <c r="J20" s="79">
        <f t="shared" si="0"/>
        <v>0</v>
      </c>
      <c r="K20" s="79">
        <f t="shared" si="1"/>
        <v>1750000</v>
      </c>
    </row>
    <row r="21" spans="2:11">
      <c r="B21" s="37"/>
      <c r="C21" s="80"/>
      <c r="D21" s="80"/>
      <c r="E21" s="80"/>
      <c r="F21" s="80"/>
      <c r="G21" s="80"/>
      <c r="H21" s="80"/>
      <c r="I21" s="80"/>
      <c r="J21" s="79">
        <f t="shared" si="0"/>
        <v>0</v>
      </c>
      <c r="K21" s="79">
        <f t="shared" si="1"/>
        <v>0</v>
      </c>
    </row>
    <row r="22" spans="2:11">
      <c r="B22" s="77" t="s">
        <v>48</v>
      </c>
      <c r="C22" s="78">
        <f t="shared" ref="C22" si="2">M22+O22</f>
        <v>0</v>
      </c>
      <c r="D22" s="78"/>
      <c r="E22" s="79"/>
      <c r="F22" s="79"/>
      <c r="G22" s="79"/>
      <c r="H22" s="79"/>
      <c r="I22" s="79"/>
      <c r="J22" s="79">
        <f t="shared" si="0"/>
        <v>0</v>
      </c>
      <c r="K22" s="79">
        <f t="shared" si="1"/>
        <v>0</v>
      </c>
    </row>
    <row r="23" spans="2:11">
      <c r="B23" s="83" t="s">
        <v>49</v>
      </c>
      <c r="C23" s="82">
        <v>300000</v>
      </c>
      <c r="D23" s="78"/>
      <c r="E23" s="36"/>
      <c r="F23" s="36"/>
      <c r="G23" s="36"/>
      <c r="H23" s="36"/>
      <c r="I23" s="36"/>
      <c r="J23" s="79">
        <f t="shared" si="0"/>
        <v>0</v>
      </c>
      <c r="K23" s="79">
        <f t="shared" si="1"/>
        <v>300000</v>
      </c>
    </row>
    <row r="24" spans="2:11">
      <c r="B24" s="83" t="s">
        <v>82</v>
      </c>
      <c r="C24" s="82">
        <v>150000</v>
      </c>
      <c r="D24" s="78"/>
      <c r="E24" s="36"/>
      <c r="F24" s="36"/>
      <c r="G24" s="36"/>
      <c r="H24" s="36"/>
      <c r="I24" s="36"/>
      <c r="J24" s="79">
        <f t="shared" si="0"/>
        <v>0</v>
      </c>
      <c r="K24" s="79">
        <f t="shared" si="1"/>
        <v>150000</v>
      </c>
    </row>
    <row r="25" spans="2:11">
      <c r="B25" s="81" t="s">
        <v>94</v>
      </c>
      <c r="C25" s="82">
        <v>400000</v>
      </c>
      <c r="D25" s="78"/>
      <c r="E25" s="36"/>
      <c r="F25" s="36"/>
      <c r="G25" s="36"/>
      <c r="H25" s="36"/>
      <c r="I25" s="36"/>
      <c r="J25" s="79">
        <f t="shared" si="0"/>
        <v>0</v>
      </c>
      <c r="K25" s="79">
        <f t="shared" si="1"/>
        <v>400000</v>
      </c>
    </row>
    <row r="26" spans="2:11">
      <c r="B26" s="81" t="s">
        <v>95</v>
      </c>
      <c r="C26" s="82">
        <v>50000</v>
      </c>
      <c r="D26" s="78"/>
      <c r="E26" s="36"/>
      <c r="F26" s="78">
        <v>50000</v>
      </c>
      <c r="G26" s="36"/>
      <c r="H26" s="36"/>
      <c r="I26" s="36"/>
      <c r="J26" s="79">
        <f t="shared" si="0"/>
        <v>50000</v>
      </c>
      <c r="K26" s="79">
        <f t="shared" si="1"/>
        <v>0</v>
      </c>
    </row>
    <row r="27" spans="2:11">
      <c r="B27" s="81" t="s">
        <v>160</v>
      </c>
      <c r="C27" s="82">
        <v>324000</v>
      </c>
      <c r="D27" s="78"/>
      <c r="E27" s="36"/>
      <c r="F27" s="36"/>
      <c r="G27" s="36"/>
      <c r="H27" s="36"/>
      <c r="I27" s="79">
        <v>324000</v>
      </c>
      <c r="J27" s="79">
        <f t="shared" si="0"/>
        <v>324000</v>
      </c>
      <c r="K27" s="79">
        <f t="shared" si="1"/>
        <v>0</v>
      </c>
    </row>
    <row r="28" spans="2:11">
      <c r="B28" s="81"/>
      <c r="C28" s="82"/>
      <c r="D28" s="78"/>
      <c r="E28" s="79"/>
      <c r="F28" s="79"/>
      <c r="G28" s="79"/>
      <c r="H28" s="79"/>
      <c r="I28" s="79"/>
      <c r="J28" s="79">
        <f t="shared" si="0"/>
        <v>0</v>
      </c>
      <c r="K28" s="79">
        <f t="shared" si="1"/>
        <v>0</v>
      </c>
    </row>
    <row r="29" spans="2:11">
      <c r="B29" s="77"/>
      <c r="C29" s="78"/>
      <c r="D29" s="78"/>
      <c r="E29" s="79"/>
      <c r="F29" s="79"/>
      <c r="G29" s="79"/>
      <c r="H29" s="79"/>
      <c r="I29" s="79"/>
      <c r="J29" s="79">
        <f t="shared" si="0"/>
        <v>0</v>
      </c>
      <c r="K29" s="79">
        <f t="shared" si="1"/>
        <v>0</v>
      </c>
    </row>
    <row r="30" spans="2:11">
      <c r="B30" s="85" t="s">
        <v>51</v>
      </c>
      <c r="C30" s="78">
        <v>120000</v>
      </c>
      <c r="D30" s="78"/>
      <c r="E30" s="78">
        <v>0</v>
      </c>
      <c r="F30" s="78">
        <v>20000</v>
      </c>
      <c r="G30" s="78">
        <v>40000</v>
      </c>
      <c r="H30" s="78">
        <v>40000</v>
      </c>
      <c r="I30" s="78">
        <v>20000</v>
      </c>
      <c r="J30" s="79">
        <f t="shared" si="0"/>
        <v>120000</v>
      </c>
      <c r="K30" s="79">
        <f t="shared" si="1"/>
        <v>0</v>
      </c>
    </row>
    <row r="31" spans="2:11">
      <c r="B31" s="77"/>
      <c r="C31" s="78"/>
      <c r="D31" s="78"/>
      <c r="E31" s="78"/>
      <c r="F31" s="78"/>
      <c r="G31" s="78"/>
      <c r="H31" s="78"/>
      <c r="I31" s="78"/>
      <c r="J31" s="79">
        <f t="shared" ref="J11:J32" si="3">SUM(E31:I31)</f>
        <v>0</v>
      </c>
      <c r="K31" s="79">
        <f t="shared" si="1"/>
        <v>0</v>
      </c>
    </row>
    <row r="32" spans="2:11">
      <c r="B32" s="77" t="s">
        <v>58</v>
      </c>
      <c r="C32" s="78">
        <f>SUM(C10:C30)</f>
        <v>18329400</v>
      </c>
      <c r="D32" s="78">
        <f t="shared" ref="D32:E32" si="4">SUM(D12:D30)</f>
        <v>0</v>
      </c>
      <c r="E32" s="78">
        <f t="shared" si="4"/>
        <v>0</v>
      </c>
      <c r="F32" s="78">
        <f>SUM(F9:F30)</f>
        <v>70000</v>
      </c>
      <c r="G32" s="78">
        <f>SUM(G9:G30)</f>
        <v>40000</v>
      </c>
      <c r="H32" s="78">
        <f>SUM(H9:H30)</f>
        <v>40000</v>
      </c>
      <c r="I32" s="78">
        <f>SUM(I9:I30)</f>
        <v>9024000</v>
      </c>
      <c r="J32" s="79">
        <f t="shared" si="3"/>
        <v>9174000</v>
      </c>
      <c r="K32" s="79">
        <f t="shared" si="1"/>
        <v>9155400</v>
      </c>
    </row>
    <row r="33" spans="2:11">
      <c r="B33" s="81"/>
      <c r="C33" s="82"/>
      <c r="D33" s="78"/>
      <c r="E33" s="36"/>
      <c r="F33" s="36"/>
      <c r="G33" s="36"/>
      <c r="H33" s="36"/>
      <c r="I33" s="36"/>
      <c r="J33" s="36"/>
      <c r="K33" s="79">
        <f t="shared" ref="K11:K38" si="5">C33-J33</f>
        <v>0</v>
      </c>
    </row>
    <row r="34" spans="2:11">
      <c r="B34" s="31" t="s">
        <v>56</v>
      </c>
      <c r="C34" s="91">
        <f>11000000</f>
        <v>11000000</v>
      </c>
      <c r="D34" s="39"/>
      <c r="E34" s="16">
        <v>355520</v>
      </c>
      <c r="F34" s="92">
        <v>607764</v>
      </c>
      <c r="G34" s="92">
        <f>3444773+127358-F34-E34</f>
        <v>2608847</v>
      </c>
      <c r="H34" s="64">
        <f>7658015-34880-SUM(E34:G34)</f>
        <v>4051004</v>
      </c>
      <c r="I34" s="64">
        <f>J34-SUM(E34:H34)</f>
        <v>1730425</v>
      </c>
      <c r="J34" s="64">
        <f>9082469+271091</f>
        <v>9353560</v>
      </c>
      <c r="K34" s="79">
        <f t="shared" si="5"/>
        <v>1646440</v>
      </c>
    </row>
    <row r="35" spans="2:11">
      <c r="B35" s="40"/>
      <c r="C35" s="39"/>
      <c r="D35" s="39"/>
      <c r="E35" s="32"/>
      <c r="F35" s="32"/>
      <c r="G35" s="32"/>
      <c r="H35" s="32"/>
      <c r="I35" s="32"/>
      <c r="J35" s="32"/>
      <c r="K35" s="79">
        <f t="shared" si="5"/>
        <v>0</v>
      </c>
    </row>
    <row r="36" spans="2:11">
      <c r="B36" s="40" t="s">
        <v>57</v>
      </c>
      <c r="C36" s="39">
        <v>500000</v>
      </c>
      <c r="D36" s="39"/>
      <c r="E36" s="32">
        <v>0</v>
      </c>
      <c r="F36" s="32">
        <v>34880</v>
      </c>
      <c r="G36" s="32"/>
      <c r="H36" s="27"/>
      <c r="I36" s="27"/>
      <c r="J36" s="27">
        <f>SUM(E36:I36)</f>
        <v>34880</v>
      </c>
      <c r="K36" s="79">
        <f t="shared" si="5"/>
        <v>465120</v>
      </c>
    </row>
    <row r="37" spans="2:11">
      <c r="K37" s="79">
        <f t="shared" si="5"/>
        <v>0</v>
      </c>
    </row>
    <row r="38" spans="2:11">
      <c r="B38" t="s">
        <v>54</v>
      </c>
      <c r="C38" s="16">
        <f>C32+C34+C36</f>
        <v>29829400</v>
      </c>
      <c r="D38" s="16">
        <f t="shared" ref="D38:J38" si="6">D32+D34+D36</f>
        <v>0</v>
      </c>
      <c r="E38" s="16">
        <f t="shared" si="6"/>
        <v>355520</v>
      </c>
      <c r="F38" s="16">
        <f t="shared" si="6"/>
        <v>712644</v>
      </c>
      <c r="G38" s="16">
        <f t="shared" si="6"/>
        <v>2648847</v>
      </c>
      <c r="H38" s="16">
        <f t="shared" si="6"/>
        <v>4091004</v>
      </c>
      <c r="I38" s="16">
        <f t="shared" si="6"/>
        <v>10754425</v>
      </c>
      <c r="J38" s="16">
        <f t="shared" si="6"/>
        <v>18562440</v>
      </c>
      <c r="K38" s="79">
        <f t="shared" si="5"/>
        <v>11266960</v>
      </c>
    </row>
    <row r="44" spans="2:11">
      <c r="H44" s="14"/>
      <c r="I44" s="14"/>
      <c r="J44" s="14"/>
    </row>
    <row r="45" spans="2:11">
      <c r="H45" s="14"/>
      <c r="I45" s="14"/>
      <c r="J45" s="14"/>
    </row>
    <row r="46" spans="2:11">
      <c r="H46" s="14"/>
      <c r="I46" s="14"/>
      <c r="J46" s="14"/>
    </row>
  </sheetData>
  <mergeCells count="3">
    <mergeCell ref="C5:F5"/>
    <mergeCell ref="E6:G6"/>
    <mergeCell ref="E7:J7"/>
  </mergeCells>
  <phoneticPr fontId="6" type="noConversion"/>
  <conditionalFormatting sqref="B23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24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28</v>
      </c>
      <c r="D5" s="14">
        <v>400000</v>
      </c>
      <c r="F5" s="34" t="s">
        <v>38</v>
      </c>
      <c r="G5" s="27"/>
      <c r="H5" s="29"/>
      <c r="I5" s="27">
        <v>10600000</v>
      </c>
      <c r="K5" s="34" t="s">
        <v>38</v>
      </c>
      <c r="L5" s="27"/>
      <c r="M5" s="29"/>
      <c r="N5" s="27">
        <v>11000000</v>
      </c>
    </row>
    <row r="6" spans="3:14">
      <c r="C6" t="s">
        <v>33</v>
      </c>
      <c r="D6" s="14">
        <v>200000</v>
      </c>
      <c r="F6" s="34" t="s">
        <v>42</v>
      </c>
      <c r="G6" s="27"/>
      <c r="H6" s="29"/>
      <c r="I6" s="27">
        <v>124266</v>
      </c>
      <c r="K6" s="34" t="s">
        <v>42</v>
      </c>
      <c r="L6" s="27"/>
      <c r="M6" s="29"/>
      <c r="N6" s="27">
        <v>124266</v>
      </c>
    </row>
    <row r="7" spans="3:14">
      <c r="C7" t="s">
        <v>29</v>
      </c>
      <c r="D7" s="14">
        <v>300000</v>
      </c>
      <c r="F7" s="34" t="s">
        <v>39</v>
      </c>
      <c r="G7" s="27"/>
      <c r="H7" s="29"/>
      <c r="I7" s="27">
        <v>500000</v>
      </c>
      <c r="K7" s="34" t="s">
        <v>39</v>
      </c>
      <c r="L7" s="27"/>
      <c r="M7" s="29"/>
      <c r="N7" s="27">
        <v>500000</v>
      </c>
    </row>
    <row r="8" spans="3:14">
      <c r="C8" t="s">
        <v>30</v>
      </c>
      <c r="D8" s="14">
        <f>350000*0</f>
        <v>0</v>
      </c>
      <c r="F8" s="34" t="s">
        <v>40</v>
      </c>
      <c r="G8" s="27"/>
      <c r="H8" s="29"/>
      <c r="I8" s="27">
        <v>500000</v>
      </c>
      <c r="K8" s="34" t="s">
        <v>40</v>
      </c>
      <c r="L8" s="27"/>
      <c r="M8" s="29"/>
      <c r="N8" s="27">
        <v>500000</v>
      </c>
    </row>
    <row r="9" spans="3:14">
      <c r="C9" t="s">
        <v>31</v>
      </c>
      <c r="D9" s="14">
        <v>350000</v>
      </c>
      <c r="F9" s="34" t="s">
        <v>41</v>
      </c>
      <c r="G9" s="27"/>
      <c r="H9" s="29"/>
      <c r="I9" s="27">
        <v>2000000</v>
      </c>
      <c r="K9" s="50" t="s">
        <v>64</v>
      </c>
      <c r="N9" s="27">
        <v>500000</v>
      </c>
    </row>
    <row r="10" spans="3:14">
      <c r="C10" t="s">
        <v>32</v>
      </c>
      <c r="D10" s="14"/>
      <c r="F10" s="34" t="s">
        <v>43</v>
      </c>
      <c r="G10" s="27"/>
      <c r="H10" s="29"/>
      <c r="I10" s="27">
        <v>916634.45</v>
      </c>
      <c r="K10" s="50" t="s">
        <v>65</v>
      </c>
      <c r="N10" s="27">
        <v>361000</v>
      </c>
    </row>
    <row r="11" spans="3:14">
      <c r="C11" t="s">
        <v>34</v>
      </c>
      <c r="D11" s="14"/>
      <c r="K11" s="50" t="s">
        <v>66</v>
      </c>
      <c r="N11" s="27">
        <v>500000</v>
      </c>
    </row>
    <row r="12" spans="3:14">
      <c r="C12" t="s">
        <v>35</v>
      </c>
      <c r="D12" s="14">
        <v>100000</v>
      </c>
      <c r="K12" s="50" t="s">
        <v>67</v>
      </c>
      <c r="N12" s="27">
        <v>200000</v>
      </c>
    </row>
    <row r="13" spans="3:14">
      <c r="C13" t="s">
        <v>36</v>
      </c>
      <c r="D13" s="14">
        <v>200000</v>
      </c>
      <c r="I13" s="16">
        <f>SUM(I5:I12)</f>
        <v>14640900.449999999</v>
      </c>
      <c r="N13" s="16">
        <f>SUM(N5:N12)</f>
        <v>13685266</v>
      </c>
    </row>
    <row r="14" spans="3:14">
      <c r="C14" t="s">
        <v>37</v>
      </c>
      <c r="D14" s="14">
        <v>100000</v>
      </c>
    </row>
    <row r="16" spans="3:14">
      <c r="D16" s="16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2026-05-04T06:29:42Z</dcterms:modified>
</cp:coreProperties>
</file>