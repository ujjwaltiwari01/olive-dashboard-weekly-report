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4B640D9F-20C1-43C7-8FBE-C57078102EF0}" xr6:coauthVersionLast="47" xr6:coauthVersionMax="47" xr10:uidLastSave="{00000000-0000-0000-0000-000000000000}"/>
  <bookViews>
    <workbookView xWindow="-80" yWindow="-80" windowWidth="19360" windowHeight="11440" activeTab="2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H23" i="3"/>
  <c r="F24" i="3"/>
  <c r="F23" i="3"/>
  <c r="D23" i="3"/>
  <c r="D24" i="3"/>
  <c r="E24" i="3"/>
  <c r="G24" i="3"/>
  <c r="C24" i="3"/>
  <c r="I20" i="4" l="1"/>
  <c r="C33" i="5" l="1"/>
  <c r="G33" i="5"/>
  <c r="H33" i="5" s="1"/>
  <c r="F22" i="2" l="1"/>
  <c r="O13" i="7"/>
  <c r="Q5" i="2" l="1"/>
  <c r="D39" i="5"/>
  <c r="E10" i="4"/>
  <c r="F10" i="4"/>
  <c r="G10" i="4"/>
  <c r="D10" i="4"/>
  <c r="H10" i="4" s="1"/>
  <c r="E9" i="4"/>
  <c r="F9" i="4"/>
  <c r="G9" i="4"/>
  <c r="H9" i="4" s="1"/>
  <c r="D9" i="4"/>
  <c r="E8" i="4"/>
  <c r="I36" i="5"/>
  <c r="I37" i="5"/>
  <c r="I38" i="5"/>
  <c r="I34" i="5"/>
  <c r="I35" i="5"/>
  <c r="I33" i="5"/>
  <c r="H32" i="5"/>
  <c r="G32" i="5"/>
  <c r="F32" i="5"/>
  <c r="E32" i="5"/>
  <c r="D32" i="5"/>
  <c r="I31" i="5"/>
  <c r="I30" i="5"/>
  <c r="I29" i="5"/>
  <c r="I28" i="5"/>
  <c r="I27" i="5"/>
  <c r="I26" i="5"/>
  <c r="I25" i="5"/>
  <c r="I24" i="5"/>
  <c r="I23" i="5"/>
  <c r="C22" i="5"/>
  <c r="I22" i="5" s="1"/>
  <c r="I21" i="5"/>
  <c r="I20" i="5"/>
  <c r="I19" i="5"/>
  <c r="I18" i="5"/>
  <c r="I17" i="5"/>
  <c r="I16" i="5"/>
  <c r="I15" i="5"/>
  <c r="I14" i="5"/>
  <c r="I13" i="5"/>
  <c r="I12" i="5"/>
  <c r="I11" i="5"/>
  <c r="I10" i="5"/>
  <c r="F39" i="5" l="1"/>
  <c r="G39" i="5"/>
  <c r="E39" i="5"/>
  <c r="C32" i="5"/>
  <c r="D8" i="4"/>
  <c r="F8" i="4"/>
  <c r="H39" i="5"/>
  <c r="G8" i="4"/>
  <c r="H8" i="4" s="1"/>
  <c r="I32" i="5"/>
  <c r="P13" i="7"/>
  <c r="G26" i="7"/>
  <c r="G25" i="7"/>
  <c r="O4" i="7" s="1"/>
  <c r="P4" i="7" s="1"/>
  <c r="G24" i="7"/>
  <c r="O14" i="7" s="1"/>
  <c r="P14" i="7" s="1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B10" i="7"/>
  <c r="O9" i="7"/>
  <c r="P9" i="7" s="1"/>
  <c r="P10" i="7" s="1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C8" i="4" l="1"/>
  <c r="I8" i="4" s="1"/>
  <c r="C39" i="5"/>
  <c r="I39" i="5" s="1"/>
  <c r="P16" i="7"/>
  <c r="O15" i="7"/>
  <c r="P15" i="7" s="1"/>
  <c r="P18" i="7"/>
  <c r="P5" i="7"/>
  <c r="P17" i="7"/>
  <c r="C9" i="4" l="1"/>
  <c r="I9" i="4" s="1"/>
  <c r="I15" i="4" l="1"/>
  <c r="E28" i="2"/>
  <c r="F28" i="2"/>
  <c r="G28" i="2"/>
  <c r="E29" i="2"/>
  <c r="F29" i="2"/>
  <c r="G29" i="2"/>
  <c r="D28" i="2"/>
  <c r="D29" i="2"/>
  <c r="H22" i="2"/>
  <c r="P10" i="2" s="1"/>
  <c r="Q10" i="2" s="1"/>
  <c r="H23" i="2"/>
  <c r="H24" i="2"/>
  <c r="H25" i="2"/>
  <c r="H21" i="2"/>
  <c r="P11" i="2" s="1"/>
  <c r="Q11" i="2" s="1"/>
  <c r="R10" i="2" l="1"/>
  <c r="H29" i="2"/>
  <c r="H28" i="2"/>
  <c r="F11" i="4" l="1"/>
  <c r="G11" i="4"/>
  <c r="D11" i="4" l="1"/>
  <c r="C29" i="2"/>
  <c r="C28" i="2"/>
  <c r="N13" i="6" l="1"/>
  <c r="D8" i="6" l="1"/>
  <c r="D16" i="6"/>
  <c r="J15" i="3"/>
  <c r="J14" i="3"/>
  <c r="J6" i="3"/>
  <c r="J5" i="3"/>
  <c r="E11" i="4"/>
  <c r="H11" i="4" s="1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Q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P17" i="2" s="1"/>
  <c r="I13" i="6"/>
  <c r="Q8" i="2" l="1"/>
  <c r="C10" i="4" l="1"/>
  <c r="C12" i="2"/>
  <c r="D12" i="2" s="1"/>
  <c r="C7" i="2"/>
  <c r="D7" i="2" s="1"/>
  <c r="C11" i="4" l="1"/>
  <c r="I10" i="4"/>
  <c r="I11" i="4" s="1"/>
  <c r="C17" i="3"/>
  <c r="D15" i="3" s="1"/>
  <c r="F17" i="3"/>
  <c r="F8" i="3"/>
  <c r="G6" i="3" s="1"/>
  <c r="C8" i="3"/>
  <c r="D6" i="3" s="1"/>
  <c r="E12" i="2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J13" i="3" l="1"/>
  <c r="F12" i="2"/>
  <c r="G14" i="3"/>
  <c r="Q7" i="2"/>
  <c r="P7" i="2"/>
  <c r="G15" i="3"/>
  <c r="G5" i="3"/>
  <c r="J4" i="3"/>
  <c r="D14" i="3"/>
  <c r="D5" i="3"/>
  <c r="G12" i="2" l="1"/>
  <c r="H12" i="2" l="1"/>
  <c r="I12" i="2" l="1"/>
  <c r="J12" i="2" l="1"/>
  <c r="K12" i="2" l="1"/>
  <c r="L12" i="2" l="1"/>
  <c r="M12" i="2" l="1"/>
  <c r="N12" i="2" l="1"/>
  <c r="O12" i="2" l="1"/>
  <c r="P12" i="2" l="1"/>
  <c r="P18" i="2" s="1"/>
  <c r="R14" i="2"/>
  <c r="Q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Q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<sst xmlns="http://schemas.openxmlformats.org/spreadsheetml/2006/main" count="205" uniqueCount="146">
  <si>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</si>
  <si>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</si>
  <si>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</si>
  <si>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</si>
  <si>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</si>
  <si>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</si>
  <si>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</si>
  <si>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</si>
  <si>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</si>
  <si>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</si>
  <si>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</si>
  <si>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</si>
  <si>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</si>
  <si>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</si>
  <si>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</si>
  <si>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</si>
  <si>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</si>
  <si>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</si>
  <si>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</si>
  <si>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Inflow</t>
  </si>
  <si>
    <t>Received</t>
  </si>
  <si>
    <t>TA fees</t>
  </si>
  <si>
    <t>Management fees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</si>
  <si>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</si>
  <si>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</si>
  <si>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</si>
  <si>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</si>
  <si>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</si>
  <si>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</si>
  <si>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</si>
  <si>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</si>
  <si>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</si>
  <si>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</si>
  <si>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</si>
  <si>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</si>
  <si>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</si>
  <si>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</si>
  <si>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</si>
  <si>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</si>
  <si>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</si>
  <si>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</si>
  <si>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</si>
  <si>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</si>
  <si>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</si>
  <si>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</si>
  <si>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</si>
  <si>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</si>
  <si>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</si>
  <si>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</si>
  <si>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</si>
  <si>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</si>
  <si>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</si>
  <si>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</si>
  <si>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</si>
  <si>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</si>
  <si>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</si>
  <si>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</si>
  <si>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</si>
  <si>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</si>
  <si>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</si>
  <si>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</si>
  <si>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</si>
  <si>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</si>
  <si>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</si>
  <si>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</si>
  <si>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</si>
  <si>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</si>
  <si>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Overall</t>
  </si>
  <si>
    <t>Achievement</t>
  </si>
  <si>
    <t>-Hisca</t>
  </si>
  <si>
    <t>-Zoho</t>
  </si>
  <si>
    <t>Travel agency</t>
  </si>
  <si>
    <t>-Kingshuk</t>
  </si>
  <si>
    <t>-Properties</t>
  </si>
  <si>
    <t>-Keys</t>
  </si>
  <si>
    <t>April '26</t>
  </si>
  <si>
    <t>W1</t>
  </si>
  <si>
    <t>W2</t>
  </si>
  <si>
    <t>W3</t>
  </si>
  <si>
    <t>W4</t>
  </si>
  <si>
    <t>Total properties</t>
  </si>
  <si>
    <t>Total keys</t>
  </si>
  <si>
    <t>March'26</t>
  </si>
  <si>
    <t>Spark Ruby, Kolkata</t>
  </si>
  <si>
    <t>Bengaluru - Spark - Sheshadripuram</t>
  </si>
  <si>
    <t>Chakan</t>
  </si>
  <si>
    <t>Spark Junagad</t>
  </si>
  <si>
    <t xml:space="preserve"> Banjaara Hills</t>
  </si>
  <si>
    <t>Portfolio Update:</t>
  </si>
  <si>
    <t>April 25</t>
  </si>
  <si>
    <t>April 26</t>
  </si>
  <si>
    <t>April'26 - same period
26 same period
'26 - same period</t>
  </si>
  <si>
    <t>April</t>
  </si>
  <si>
    <t>Hulimavu, Bangalore</t>
  </si>
  <si>
    <t>Nagavara, Bangalore</t>
  </si>
  <si>
    <t>JP Nagar, Bangalore</t>
  </si>
  <si>
    <t>Olive Yelahanka near BMSIT BLR</t>
  </si>
  <si>
    <t>Andheri - Le Grande</t>
  </si>
  <si>
    <t>Spark Rajkot</t>
  </si>
  <si>
    <t>Spark Vision Ventures - Tathawade</t>
  </si>
  <si>
    <t>Olive Bharatpur</t>
  </si>
  <si>
    <t>Olive Kakkanad Info Park</t>
  </si>
  <si>
    <t>Global Stays: 25 keys</t>
  </si>
  <si>
    <t>Xotel HSR Layout: 25 keys</t>
  </si>
  <si>
    <t>SS Heritage: 25 keys</t>
  </si>
  <si>
    <t>Diamond Park (Vizag): 20 keys</t>
  </si>
  <si>
    <t xml:space="preserve"> 2. Sadahalli, Bangalore: The property has been formally converted from the Olive brand to Spark.</t>
  </si>
  <si>
    <t>1. New Signings – Open Brand:</t>
  </si>
  <si>
    <t>Handover date</t>
  </si>
  <si>
    <t>Go-live date</t>
  </si>
  <si>
    <t>April '26 WIP</t>
  </si>
  <si>
    <t>3. MA executed with Le Grande for the Spark property in Mumbai.</t>
  </si>
  <si>
    <t>Saturday, May 30th 2026</t>
  </si>
  <si>
    <t>Calangute, Goa</t>
  </si>
  <si>
    <t>Monday, June 15th 2026</t>
  </si>
  <si>
    <t>Nagarjuna/Marathahalli, Bangalore</t>
  </si>
  <si>
    <t>Friday, June 5th 2026</t>
  </si>
  <si>
    <t>Thursday, April 30th 2026</t>
  </si>
  <si>
    <t>Monday, May 11th 2026</t>
  </si>
  <si>
    <t>Olive Sector 57 GUR</t>
  </si>
  <si>
    <t>Thursday, June 18th 2026</t>
  </si>
  <si>
    <t>Vizag, AP</t>
  </si>
  <si>
    <t>Friday, May 15th 2026</t>
  </si>
  <si>
    <t>15th June 2026</t>
  </si>
  <si>
    <t>30th June 2026</t>
  </si>
  <si>
    <t>30th May 2026</t>
  </si>
  <si>
    <t>20th June 2026</t>
  </si>
  <si>
    <t>15th May 2026</t>
  </si>
  <si>
    <t>26th May 2027</t>
  </si>
  <si>
    <t>3rd July 2026</t>
  </si>
  <si>
    <t xml:space="preserve">Operational Properties – Open Brand:
</t>
  </si>
  <si>
    <t>1. Chamier's Park : 25 keys</t>
  </si>
  <si>
    <t>2. The Botanica : 50 keys</t>
  </si>
  <si>
    <t>3. Sea Heights : 24 keys</t>
  </si>
  <si>
    <t>To be collected</t>
  </si>
  <si>
    <t>Outflow - expected for the rest of the month</t>
  </si>
  <si>
    <t>Cash required (Expected outflow - current balance)</t>
  </si>
  <si>
    <t>YoY Growth - Managed properties</t>
  </si>
  <si>
    <t>Short stay</t>
  </si>
  <si>
    <t>Long stay</t>
  </si>
  <si>
    <t>Growth rates</t>
  </si>
  <si>
    <t>MoM Growth - Franchised properties</t>
  </si>
  <si>
    <t>Feb</t>
  </si>
  <si>
    <t>March</t>
  </si>
  <si>
    <t>April (part)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</si>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</sst>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164" fontId="17" fillId="11" borderId="0" xfId="0" applyNumberFormat="1" applyFont="1" applyFill="1" applyAlignment="1">
      <alignment horizontal="left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5" fillId="6" borderId="31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5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9" fillId="7" borderId="32" xfId="0" applyFont="1" applyFill="1" applyBorder="1" applyAlignment="1">
      <alignment horizontal="left"/>
    </xf>
    <xf numFmtId="164" fontId="13" fillId="7" borderId="33" xfId="1" applyNumberFormat="1" applyFont="1" applyFill="1" applyBorder="1" applyAlignment="1">
      <alignment horizontal="right"/>
    </xf>
    <xf numFmtId="0" fontId="13" fillId="7" borderId="33" xfId="0" applyFont="1" applyFill="1" applyBorder="1" applyAlignment="1">
      <alignment horizontal="right"/>
    </xf>
    <xf numFmtId="0" fontId="13" fillId="7" borderId="3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3" fontId="21" fillId="14" borderId="4" xfId="0" applyNumberFormat="1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14" borderId="4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164" fontId="0" fillId="5" borderId="0" xfId="1" applyNumberFormat="1" applyFont="1" applyFill="1"/>
    <xf numFmtId="164" fontId="2" fillId="2" borderId="0" xfId="1" applyNumberFormat="1" applyFont="1" applyFill="1" applyBorder="1" applyAlignment="1">
      <alignment horizontal="center"/>
    </xf>
    <xf numFmtId="0" fontId="18" fillId="0" borderId="0" xfId="0" applyFont="1" applyAlignment="1">
      <alignment horizontal="left" vertical="center" wrapText="1" inden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wrapText="1"/>
    </xf>
    <xf numFmtId="164" fontId="0" fillId="0" borderId="12" xfId="1" applyNumberFormat="1" applyFont="1" applyFill="1" applyBorder="1" applyAlignment="1">
      <alignment vertical="center"/>
    </xf>
    <xf numFmtId="164" fontId="17" fillId="0" borderId="0" xfId="0" applyNumberFormat="1" applyFont="1" applyAlignment="1">
      <alignment horizontal="left"/>
    </xf>
    <xf numFmtId="164" fontId="0" fillId="0" borderId="0" xfId="1" applyNumberFormat="1" applyFont="1" applyFill="1"/>
    <xf numFmtId="3" fontId="0" fillId="0" borderId="0" xfId="0" applyNumberFormat="1"/>
    <xf numFmtId="9" fontId="0" fillId="0" borderId="0" xfId="2" applyFont="1" applyFill="1"/>
    <xf numFmtId="164" fontId="0" fillId="0" borderId="0" xfId="1" quotePrefix="1" applyNumberFormat="1" applyFont="1" applyFill="1"/>
    <xf numFmtId="0" fontId="0" fillId="13" borderId="0" xfId="0" applyFill="1"/>
    <xf numFmtId="165" fontId="12" fillId="0" borderId="9" xfId="1" applyNumberFormat="1" applyFont="1" applyFill="1" applyBorder="1" applyAlignment="1"/>
    <xf numFmtId="164" fontId="12" fillId="0" borderId="9" xfId="1" applyNumberFormat="1" applyFont="1" applyFill="1" applyBorder="1" applyAlignment="1"/>
    <xf numFmtId="0" fontId="0" fillId="0" borderId="22" xfId="0" applyBorder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6" borderId="3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20" fillId="6" borderId="0" xfId="0" applyFont="1" applyFill="1" applyAlignment="1">
      <alignment vertical="center" wrapText="1"/>
    </xf>
    <xf numFmtId="0" fontId="0" fillId="0" borderId="19" xfId="0" applyFill="1" applyBorder="1"/>
    <xf numFmtId="0" fontId="20" fillId="6" borderId="0" xfId="0" applyFont="1" applyFill="1" applyBorder="1" applyAlignment="1">
      <alignment vertical="center" wrapText="1"/>
    </xf>
    <xf numFmtId="0" fontId="20" fillId="6" borderId="11" xfId="0" applyFont="1" applyFill="1" applyBorder="1" applyAlignment="1">
      <alignment vertical="center" wrapText="1"/>
    </xf>
    <xf numFmtId="0" fontId="20" fillId="6" borderId="21" xfId="0" applyFont="1" applyFill="1" applyBorder="1" applyAlignment="1">
      <alignment vertical="center" wrapText="1"/>
    </xf>
    <xf numFmtId="0" fontId="20" fillId="6" borderId="22" xfId="0" applyFont="1" applyFill="1" applyBorder="1" applyAlignment="1">
      <alignment vertical="center" wrapText="1"/>
    </xf>
    <xf numFmtId="0" fontId="0" fillId="0" borderId="23" xfId="0" applyFill="1" applyBorder="1"/>
    <xf numFmtId="164" fontId="13" fillId="7" borderId="9" xfId="1" applyNumberFormat="1" applyFont="1" applyFill="1" applyBorder="1" applyAlignment="1">
      <alignment horizontal="right" wrapText="1"/>
    </xf>
    <xf numFmtId="43" fontId="0" fillId="0" borderId="0" xfId="1" applyFont="1"/>
    <xf numFmtId="3" fontId="22" fillId="0" borderId="0" xfId="0" applyNumberFormat="1" applyFont="1" applyAlignment="1">
      <alignment horizontal="right"/>
    </xf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27T10:53:37.60" personId="{2D775E0F-25EB-4869-B64A-5FF516290769}" id="{CADE0C93-7C6B-4A65-9638-5BC952EBAF60}">
    <text xml:space="preserve">Control
</text>
  </threadedComment>
  <threadedComment ref="Q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37"/>
  <sheetViews>
    <sheetView topLeftCell="A10" workbookViewId="0">
      <selection activeCell="M22" sqref="M22"/>
    </sheetView>
  </sheetViews>
  <sheetFormatPr defaultRowHeight="14.5"/>
  <cols>
    <col min="1" max="1" width="18.90625" bestFit="1" customWidth="1"/>
    <col min="2" max="2" width="14.08984375" bestFit="1" customWidth="1"/>
  </cols>
  <sheetData>
    <row r="1" spans="1:16">
      <c r="B1" s="43" t="s">
        <v>62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44"/>
    </row>
    <row r="3" spans="1:16">
      <c r="A3" s="1" t="s">
        <v>0</v>
      </c>
      <c r="B3" s="45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45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2">
        <f>SUM(B4:O4)</f>
        <v>76</v>
      </c>
    </row>
    <row r="5" spans="1:16">
      <c r="A5" s="7" t="s">
        <v>63</v>
      </c>
      <c r="B5" s="46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64</v>
      </c>
      <c r="B6" s="46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44"/>
      <c r="P7" s="2"/>
    </row>
    <row r="8" spans="1:16">
      <c r="A8" s="1" t="s">
        <v>0</v>
      </c>
      <c r="B8" s="45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45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1</v>
      </c>
      <c r="P9">
        <f>SUM(B9:O9)</f>
        <v>29</v>
      </c>
    </row>
    <row r="10" spans="1:16">
      <c r="A10" s="7" t="s">
        <v>6</v>
      </c>
      <c r="B10" s="46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29</v>
      </c>
      <c r="P10" s="8">
        <f>P9-O10</f>
        <v>0</v>
      </c>
    </row>
    <row r="11" spans="1:16">
      <c r="A11" s="7" t="s">
        <v>64</v>
      </c>
      <c r="B11" s="46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44"/>
      <c r="P12" s="2"/>
    </row>
    <row r="13" spans="1:16">
      <c r="A13" s="1" t="s">
        <v>0</v>
      </c>
      <c r="B13" s="45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25+25+25+20</f>
        <v>95</v>
      </c>
      <c r="P13" s="2">
        <f>SUM(B13:O13)</f>
        <v>1142</v>
      </c>
    </row>
    <row r="14" spans="1:16">
      <c r="A14" s="1" t="s">
        <v>1</v>
      </c>
      <c r="B14" s="45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4</v>
      </c>
      <c r="P14" s="2">
        <f>SUM(B14:O14)</f>
        <v>44</v>
      </c>
    </row>
    <row r="15" spans="1:16">
      <c r="A15" s="7" t="s">
        <v>6</v>
      </c>
      <c r="B15" s="46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44</v>
      </c>
      <c r="P15" s="8">
        <f>P14-O15</f>
        <v>0</v>
      </c>
    </row>
    <row r="16" spans="1:16">
      <c r="A16" s="7" t="s">
        <v>64</v>
      </c>
      <c r="B16" s="46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1142</v>
      </c>
      <c r="P16" s="8">
        <f>P13-O16</f>
        <v>0</v>
      </c>
    </row>
    <row r="17" spans="1:16">
      <c r="A17" s="7" t="s">
        <v>80</v>
      </c>
      <c r="B17" s="46"/>
      <c r="P17">
        <f>P4+P9+P14</f>
        <v>149</v>
      </c>
    </row>
    <row r="18" spans="1:16">
      <c r="A18" s="7" t="s">
        <v>81</v>
      </c>
      <c r="P18">
        <f>P3+P8+P13</f>
        <v>6634</v>
      </c>
    </row>
    <row r="20" spans="1:16" ht="15" thickBot="1"/>
    <row r="21" spans="1:16">
      <c r="C21" s="109" t="s">
        <v>75</v>
      </c>
      <c r="D21" s="110"/>
      <c r="E21" s="110"/>
      <c r="F21" s="110"/>
      <c r="G21" s="111"/>
    </row>
    <row r="22" spans="1:16" ht="15.5">
      <c r="A22" s="9"/>
      <c r="B22" s="67" t="s">
        <v>61</v>
      </c>
      <c r="C22" s="112" t="s">
        <v>7</v>
      </c>
      <c r="D22" s="48" t="s">
        <v>8</v>
      </c>
      <c r="E22" s="48" t="s">
        <v>9</v>
      </c>
      <c r="F22" s="48" t="s">
        <v>10</v>
      </c>
      <c r="G22" s="70" t="s">
        <v>5</v>
      </c>
    </row>
    <row r="23" spans="1:16" ht="15.5">
      <c r="A23" s="10" t="s">
        <v>14</v>
      </c>
      <c r="B23" s="68"/>
      <c r="C23" s="113"/>
      <c r="D23" s="10"/>
      <c r="E23" s="10"/>
      <c r="F23" s="10"/>
      <c r="G23" s="57"/>
    </row>
    <row r="24" spans="1:16" ht="16">
      <c r="A24" s="11" t="s">
        <v>11</v>
      </c>
      <c r="B24" s="69">
        <v>9</v>
      </c>
      <c r="C24" s="71">
        <v>0</v>
      </c>
      <c r="D24" s="71">
        <v>3</v>
      </c>
      <c r="E24" s="71">
        <v>1</v>
      </c>
      <c r="F24" s="71">
        <v>0</v>
      </c>
      <c r="G24" s="61">
        <f>SUM(C24:F24)</f>
        <v>4</v>
      </c>
    </row>
    <row r="25" spans="1:16" ht="16">
      <c r="A25" s="11" t="s">
        <v>12</v>
      </c>
      <c r="B25" s="69">
        <v>3</v>
      </c>
      <c r="C25" s="71">
        <v>0</v>
      </c>
      <c r="D25" s="71">
        <v>0</v>
      </c>
      <c r="E25" s="71">
        <v>0</v>
      </c>
      <c r="F25" s="71">
        <v>0</v>
      </c>
      <c r="G25" s="61">
        <f>SUM(C25:F25)</f>
        <v>0</v>
      </c>
    </row>
    <row r="26" spans="1:16" ht="16">
      <c r="A26" s="11" t="s">
        <v>13</v>
      </c>
      <c r="B26" s="69">
        <v>4</v>
      </c>
      <c r="C26" s="71">
        <v>0</v>
      </c>
      <c r="D26" s="71">
        <v>0</v>
      </c>
      <c r="E26" s="71">
        <v>0</v>
      </c>
      <c r="F26" s="71">
        <v>1</v>
      </c>
      <c r="G26" s="61">
        <f>SUM(C26:F26)</f>
        <v>1</v>
      </c>
    </row>
    <row r="29" spans="1:16">
      <c r="A29" s="73" t="s">
        <v>88</v>
      </c>
    </row>
    <row r="30" spans="1:16" ht="23">
      <c r="A30" s="73" t="s">
        <v>107</v>
      </c>
    </row>
    <row r="31" spans="1:16">
      <c r="A31" s="92" t="s">
        <v>102</v>
      </c>
    </row>
    <row r="32" spans="1:16">
      <c r="A32" s="92" t="s">
        <v>103</v>
      </c>
    </row>
    <row r="33" spans="1:1">
      <c r="A33" s="92" t="s">
        <v>104</v>
      </c>
    </row>
    <row r="34" spans="1:1" ht="23">
      <c r="A34" s="92" t="s">
        <v>105</v>
      </c>
    </row>
    <row r="36" spans="1:1">
      <c r="A36" s="74" t="s">
        <v>106</v>
      </c>
    </row>
    <row r="37" spans="1:1">
      <c r="A37" s="74" t="s">
        <v>111</v>
      </c>
    </row>
  </sheetData>
  <mergeCells count="2">
    <mergeCell ref="C21:G21"/>
    <mergeCell ref="C22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R57"/>
  <sheetViews>
    <sheetView workbookViewId="0">
      <selection activeCell="A11" sqref="A11"/>
    </sheetView>
  </sheetViews>
  <sheetFormatPr defaultRowHeight="14.5"/>
  <cols>
    <col min="2" max="2" width="13.90625" bestFit="1" customWidth="1"/>
    <col min="3" max="3" width="13.90625" customWidth="1"/>
    <col min="4" max="4" width="35.08984375" bestFit="1" customWidth="1"/>
    <col min="5" max="6" width="11.1796875" bestFit="1" customWidth="1"/>
    <col min="7" max="7" width="18.26953125" customWidth="1"/>
    <col min="8" max="8" width="18.36328125" customWidth="1"/>
    <col min="9" max="9" width="20.36328125" bestFit="1" customWidth="1"/>
    <col min="10" max="15" width="11.1796875" bestFit="1" customWidth="1"/>
    <col min="18" max="18" width="12.1796875" bestFit="1" customWidth="1"/>
  </cols>
  <sheetData>
    <row r="1" spans="2:18" ht="28.5">
      <c r="I1" s="5" t="s">
        <v>45</v>
      </c>
    </row>
    <row r="3" spans="2:18">
      <c r="C3" s="6" t="s">
        <v>46</v>
      </c>
      <c r="D3" s="6">
        <v>45748</v>
      </c>
      <c r="E3" s="6">
        <f>EOMONTH(D3,1)</f>
        <v>45808</v>
      </c>
      <c r="F3" s="6">
        <f t="shared" ref="F3:P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 t="s">
        <v>5</v>
      </c>
    </row>
    <row r="4" spans="2:18">
      <c r="B4" s="3" t="s">
        <v>2</v>
      </c>
      <c r="C4" s="13"/>
    </row>
    <row r="5" spans="2:18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v>0</v>
      </c>
      <c r="Q5" s="2">
        <f>SUM(C5:P5)</f>
        <v>1700</v>
      </c>
    </row>
    <row r="6" spans="2:18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v>0</v>
      </c>
      <c r="Q6" s="2">
        <f>SUM(C6:O6)</f>
        <v>41</v>
      </c>
    </row>
    <row r="7" spans="2:18">
      <c r="B7" s="7" t="s">
        <v>64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P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8">
        <f>Q5-O7</f>
        <v>0</v>
      </c>
    </row>
    <row r="8" spans="2:18">
      <c r="B8" s="7" t="s">
        <v>63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2">
        <f>Q6-O8</f>
        <v>0</v>
      </c>
    </row>
    <row r="9" spans="2:18">
      <c r="B9" s="4" t="s">
        <v>11</v>
      </c>
      <c r="C9" s="13"/>
      <c r="Q9" s="2"/>
    </row>
    <row r="10" spans="2:18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H22</f>
        <v>99</v>
      </c>
      <c r="Q10" s="2">
        <f>SUM(C10:P10)</f>
        <v>752</v>
      </c>
      <c r="R10">
        <f>Q5+Q10</f>
        <v>2452</v>
      </c>
    </row>
    <row r="11" spans="2:18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H21</f>
        <v>3</v>
      </c>
      <c r="Q11" s="2">
        <f>SUM(C11:P11)</f>
        <v>24</v>
      </c>
    </row>
    <row r="12" spans="2:18">
      <c r="B12" s="7" t="s">
        <v>65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>O12+P10</f>
        <v>752</v>
      </c>
      <c r="Q12" s="8">
        <f>Q10-P12</f>
        <v>0</v>
      </c>
    </row>
    <row r="13" spans="2:18">
      <c r="B13" s="7" t="s">
        <v>63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>O13+P11</f>
        <v>24</v>
      </c>
      <c r="Q13" s="2">
        <f>Q11-P13</f>
        <v>0</v>
      </c>
    </row>
    <row r="14" spans="2:18" s="15" customFormat="1">
      <c r="B14" s="90"/>
      <c r="Q14" s="91"/>
      <c r="R14" s="15">
        <f>SUM(D14:O14)</f>
        <v>0</v>
      </c>
    </row>
    <row r="15" spans="2:18">
      <c r="B15" s="7"/>
      <c r="Q15" s="89"/>
    </row>
    <row r="16" spans="2:18">
      <c r="B16" s="7"/>
      <c r="Q16" s="89"/>
    </row>
    <row r="17" spans="2:16" ht="15" thickBot="1">
      <c r="D17" s="106" t="s">
        <v>75</v>
      </c>
      <c r="E17" s="106"/>
      <c r="F17" s="106"/>
      <c r="G17" s="106"/>
      <c r="H17" s="106"/>
      <c r="P17">
        <f>P8+P13</f>
        <v>65</v>
      </c>
    </row>
    <row r="18" spans="2:16" ht="14.5" customHeight="1">
      <c r="B18" s="53"/>
      <c r="C18" s="107" t="s">
        <v>82</v>
      </c>
      <c r="D18" s="107" t="s">
        <v>7</v>
      </c>
      <c r="E18" s="54" t="s">
        <v>8</v>
      </c>
      <c r="F18" s="54" t="s">
        <v>9</v>
      </c>
      <c r="G18" s="54" t="s">
        <v>10</v>
      </c>
      <c r="H18" s="55" t="s">
        <v>5</v>
      </c>
      <c r="P18">
        <f>P7+P12</f>
        <v>2452</v>
      </c>
    </row>
    <row r="19" spans="2:16" ht="15.5">
      <c r="B19" s="56" t="s">
        <v>14</v>
      </c>
      <c r="C19" s="108"/>
      <c r="D19" s="108"/>
      <c r="E19" s="10"/>
      <c r="F19" s="10"/>
      <c r="G19" s="10"/>
      <c r="H19" s="57"/>
    </row>
    <row r="20" spans="2:16" ht="15.5">
      <c r="B20" s="58" t="s">
        <v>11</v>
      </c>
      <c r="H20" s="59"/>
    </row>
    <row r="21" spans="2:16" ht="16">
      <c r="B21" s="60" t="s">
        <v>73</v>
      </c>
      <c r="C21" s="12">
        <v>5</v>
      </c>
      <c r="D21" s="12">
        <v>0</v>
      </c>
      <c r="E21" s="12">
        <v>0</v>
      </c>
      <c r="F21" s="12">
        <v>2</v>
      </c>
      <c r="G21" s="12">
        <v>1</v>
      </c>
      <c r="H21" s="61">
        <f>SUM(D21:G21)</f>
        <v>3</v>
      </c>
    </row>
    <row r="22" spans="2:16" ht="16">
      <c r="B22" s="60" t="s">
        <v>74</v>
      </c>
      <c r="C22" s="12">
        <v>143</v>
      </c>
      <c r="D22">
        <v>0</v>
      </c>
      <c r="E22">
        <v>0</v>
      </c>
      <c r="F22" s="103">
        <f>50+25</f>
        <v>75</v>
      </c>
      <c r="G22">
        <v>24</v>
      </c>
      <c r="H22" s="61">
        <f t="shared" ref="H22:H25" si="5">SUM(D22:G22)</f>
        <v>99</v>
      </c>
    </row>
    <row r="23" spans="2:16" ht="16">
      <c r="B23" s="58" t="s">
        <v>12</v>
      </c>
      <c r="H23" s="61">
        <f t="shared" si="5"/>
        <v>0</v>
      </c>
    </row>
    <row r="24" spans="2:16" ht="16">
      <c r="B24" s="60" t="s">
        <v>73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61">
        <f t="shared" si="5"/>
        <v>0</v>
      </c>
    </row>
    <row r="25" spans="2:16" ht="16">
      <c r="B25" s="60" t="s">
        <v>74</v>
      </c>
      <c r="C25" s="12">
        <v>55</v>
      </c>
      <c r="D25">
        <v>0</v>
      </c>
      <c r="E25">
        <v>0</v>
      </c>
      <c r="F25">
        <v>0</v>
      </c>
      <c r="G25">
        <v>0</v>
      </c>
      <c r="H25" s="61">
        <f t="shared" si="5"/>
        <v>0</v>
      </c>
    </row>
    <row r="26" spans="2:16">
      <c r="B26" s="62"/>
      <c r="H26" s="59"/>
    </row>
    <row r="27" spans="2:16" ht="15.5">
      <c r="B27" s="58" t="s">
        <v>5</v>
      </c>
      <c r="H27" s="59"/>
    </row>
    <row r="28" spans="2:16">
      <c r="B28" s="60" t="s">
        <v>73</v>
      </c>
      <c r="C28">
        <f>C21+C24</f>
        <v>5</v>
      </c>
      <c r="D28">
        <f>SUM(D21+D24)</f>
        <v>0</v>
      </c>
      <c r="E28">
        <f t="shared" ref="E28:G28" si="6">SUM(E21+E24)</f>
        <v>0</v>
      </c>
      <c r="F28">
        <f t="shared" si="6"/>
        <v>2</v>
      </c>
      <c r="G28">
        <f t="shared" si="6"/>
        <v>1</v>
      </c>
      <c r="H28" s="59">
        <f>SUM(D28:G28)</f>
        <v>3</v>
      </c>
    </row>
    <row r="29" spans="2:16" ht="15" thickBot="1">
      <c r="B29" s="63" t="s">
        <v>74</v>
      </c>
      <c r="C29" s="64">
        <f>C22+C25</f>
        <v>198</v>
      </c>
      <c r="D29" s="64">
        <f>D25+D22</f>
        <v>0</v>
      </c>
      <c r="E29" s="64">
        <f t="shared" ref="E29:G29" si="7">E25+E22</f>
        <v>0</v>
      </c>
      <c r="F29" s="64">
        <f t="shared" si="7"/>
        <v>75</v>
      </c>
      <c r="G29" s="64">
        <f t="shared" si="7"/>
        <v>24</v>
      </c>
      <c r="H29" s="65">
        <f>SUM(D29:G29)</f>
        <v>99</v>
      </c>
    </row>
    <row r="31" spans="2:16" ht="15" thickBot="1"/>
    <row r="32" spans="2:16">
      <c r="B32" s="73" t="s">
        <v>88</v>
      </c>
      <c r="H32" s="93" t="s">
        <v>110</v>
      </c>
      <c r="I32" s="94" t="s">
        <v>108</v>
      </c>
      <c r="J32" s="95" t="s">
        <v>109</v>
      </c>
    </row>
    <row r="33" spans="2:10" ht="58">
      <c r="B33" s="96" t="s">
        <v>130</v>
      </c>
      <c r="H33" s="124" t="s">
        <v>93</v>
      </c>
      <c r="I33" s="123" t="s">
        <v>112</v>
      </c>
      <c r="J33" s="59" t="s">
        <v>123</v>
      </c>
    </row>
    <row r="34" spans="2:10">
      <c r="B34" t="s">
        <v>131</v>
      </c>
      <c r="H34" s="124" t="s">
        <v>113</v>
      </c>
      <c r="I34" s="123" t="s">
        <v>114</v>
      </c>
      <c r="J34" s="59" t="s">
        <v>124</v>
      </c>
    </row>
    <row r="35" spans="2:10" ht="29">
      <c r="B35" t="s">
        <v>132</v>
      </c>
      <c r="H35" s="124" t="s">
        <v>115</v>
      </c>
      <c r="I35" s="123" t="s">
        <v>116</v>
      </c>
      <c r="J35" s="59" t="s">
        <v>126</v>
      </c>
    </row>
    <row r="36" spans="2:10" ht="29">
      <c r="B36" t="s">
        <v>133</v>
      </c>
      <c r="H36" s="124" t="s">
        <v>94</v>
      </c>
      <c r="I36" s="123" t="s">
        <v>117</v>
      </c>
      <c r="J36" s="59" t="s">
        <v>127</v>
      </c>
    </row>
    <row r="37" spans="2:10" ht="15" thickBot="1">
      <c r="H37" s="124" t="s">
        <v>95</v>
      </c>
      <c r="I37" s="123" t="s">
        <v>118</v>
      </c>
      <c r="J37" s="65" t="s">
        <v>128</v>
      </c>
    </row>
    <row r="38" spans="2:10" ht="29.5" thickBot="1">
      <c r="H38" s="124" t="s">
        <v>96</v>
      </c>
      <c r="I38" s="123" t="s">
        <v>118</v>
      </c>
      <c r="J38" s="65" t="s">
        <v>128</v>
      </c>
    </row>
    <row r="39" spans="2:10" ht="29">
      <c r="D39" s="47"/>
      <c r="H39" s="124" t="s">
        <v>119</v>
      </c>
      <c r="I39" s="123" t="s">
        <v>120</v>
      </c>
      <c r="J39" s="122" t="s">
        <v>129</v>
      </c>
    </row>
    <row r="40" spans="2:10" ht="15" thickBot="1">
      <c r="H40" s="125" t="s">
        <v>121</v>
      </c>
      <c r="I40" s="126" t="s">
        <v>122</v>
      </c>
      <c r="J40" s="127" t="s">
        <v>125</v>
      </c>
    </row>
    <row r="43" spans="2:10">
      <c r="D43" s="121"/>
      <c r="E43" s="121"/>
      <c r="F43" s="121"/>
      <c r="G43" s="121"/>
    </row>
    <row r="44" spans="2:10">
      <c r="D44" s="121"/>
      <c r="E44" s="121"/>
      <c r="F44" s="121"/>
      <c r="G44" s="121"/>
    </row>
    <row r="45" spans="2:10">
      <c r="D45" s="121"/>
      <c r="E45" s="121"/>
      <c r="F45" s="121"/>
      <c r="G45" s="121"/>
    </row>
    <row r="46" spans="2:10">
      <c r="D46" s="121"/>
      <c r="E46" s="121"/>
      <c r="F46" s="121"/>
      <c r="G46" s="121"/>
    </row>
    <row r="47" spans="2:10">
      <c r="D47" s="121"/>
      <c r="E47" s="121"/>
      <c r="F47" s="121"/>
      <c r="G47" s="121"/>
    </row>
    <row r="48" spans="2:10">
      <c r="D48" s="121"/>
      <c r="E48" s="121"/>
      <c r="F48" s="121"/>
      <c r="G48" s="121"/>
    </row>
    <row r="49" spans="2:7">
      <c r="D49" s="121"/>
      <c r="E49" s="121"/>
      <c r="F49" s="121"/>
      <c r="G49" s="121"/>
    </row>
    <row r="50" spans="2:7">
      <c r="B50" s="96"/>
      <c r="D50" s="121"/>
      <c r="E50" s="121"/>
      <c r="F50" s="121"/>
      <c r="G50" s="121"/>
    </row>
    <row r="57" spans="2:7" ht="16">
      <c r="D57" s="75"/>
    </row>
  </sheetData>
  <mergeCells count="3">
    <mergeCell ref="D17:H17"/>
    <mergeCell ref="C18:C19"/>
    <mergeCell ref="D18:D19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M26"/>
  <sheetViews>
    <sheetView tabSelected="1" workbookViewId="0">
      <selection activeCell="G26" sqref="G26"/>
    </sheetView>
  </sheetViews>
  <sheetFormatPr defaultRowHeight="14.5"/>
  <cols>
    <col min="3" max="3" width="13.90625" style="15" bestFit="1" customWidth="1"/>
    <col min="4" max="5" width="12.1796875" bestFit="1" customWidth="1"/>
    <col min="6" max="7" width="11.1796875" bestFit="1" customWidth="1"/>
    <col min="12" max="12" width="11.1796875" bestFit="1" customWidth="1"/>
    <col min="13" max="13" width="12.1796875" bestFit="1" customWidth="1"/>
  </cols>
  <sheetData>
    <row r="1" spans="2:13">
      <c r="C1" s="114" t="s">
        <v>91</v>
      </c>
      <c r="D1" s="115"/>
      <c r="E1" s="115"/>
      <c r="F1" s="115"/>
    </row>
    <row r="3" spans="2:13">
      <c r="C3" s="15" t="s">
        <v>15</v>
      </c>
      <c r="F3" s="14" t="s">
        <v>16</v>
      </c>
      <c r="I3" t="s">
        <v>68</v>
      </c>
    </row>
    <row r="4" spans="2:13">
      <c r="C4" s="99"/>
      <c r="F4" s="14"/>
      <c r="I4" t="s">
        <v>67</v>
      </c>
      <c r="J4" s="16">
        <f>F8/C8</f>
        <v>0.97543858653797755</v>
      </c>
    </row>
    <row r="5" spans="2:13">
      <c r="B5" t="s">
        <v>17</v>
      </c>
      <c r="C5" s="100">
        <v>39646623</v>
      </c>
      <c r="D5" s="101">
        <f>C5/$C$8</f>
        <v>0.68827808414210578</v>
      </c>
      <c r="E5" s="101"/>
      <c r="F5" s="100">
        <v>34291602.649999999</v>
      </c>
      <c r="G5" s="101">
        <f>F5/F8</f>
        <v>0.61030312160266009</v>
      </c>
      <c r="I5" t="s">
        <v>17</v>
      </c>
      <c r="J5" s="16">
        <f>F5/C5</f>
        <v>0.86493123638802727</v>
      </c>
    </row>
    <row r="6" spans="2:13">
      <c r="B6" t="s">
        <v>18</v>
      </c>
      <c r="C6" s="99">
        <v>17956000</v>
      </c>
      <c r="D6" s="101">
        <f>C6/$C$8</f>
        <v>0.31172191585789416</v>
      </c>
      <c r="E6" s="101"/>
      <c r="F6" s="100">
        <v>21896218.509999998</v>
      </c>
      <c r="G6" s="101">
        <f>F6/F8</f>
        <v>0.38969687839733985</v>
      </c>
      <c r="I6" t="s">
        <v>18</v>
      </c>
      <c r="J6" s="16">
        <f>F6/C6</f>
        <v>1.2194374309423033</v>
      </c>
    </row>
    <row r="7" spans="2:13">
      <c r="C7" s="99"/>
    </row>
    <row r="8" spans="2:13">
      <c r="B8" t="s">
        <v>5</v>
      </c>
      <c r="C8" s="99">
        <f>SUM(C5:C7)</f>
        <v>57602623</v>
      </c>
      <c r="F8" s="17">
        <f>SUM(F5:F7)</f>
        <v>56187821.159999996</v>
      </c>
    </row>
    <row r="9" spans="2:13">
      <c r="C9" s="99"/>
    </row>
    <row r="10" spans="2:13">
      <c r="C10" s="116" t="s">
        <v>137</v>
      </c>
      <c r="D10" s="116"/>
      <c r="E10" s="116"/>
      <c r="F10" s="116"/>
    </row>
    <row r="11" spans="2:13">
      <c r="C11" s="99"/>
    </row>
    <row r="12" spans="2:13">
      <c r="C12" s="102" t="s">
        <v>89</v>
      </c>
      <c r="F12" s="18" t="s">
        <v>90</v>
      </c>
      <c r="I12" t="s">
        <v>140</v>
      </c>
    </row>
    <row r="13" spans="2:13">
      <c r="C13" s="99"/>
      <c r="F13" s="14"/>
      <c r="I13" t="s">
        <v>67</v>
      </c>
      <c r="J13" s="16">
        <f>F17/C17-1</f>
        <v>0.45615207177009109</v>
      </c>
      <c r="L13" s="17"/>
    </row>
    <row r="14" spans="2:13">
      <c r="B14" t="s">
        <v>138</v>
      </c>
      <c r="C14" s="99">
        <v>38426783.430000007</v>
      </c>
      <c r="D14" s="101">
        <f>C14/C17</f>
        <v>0.90816256355029312</v>
      </c>
      <c r="E14" s="101"/>
      <c r="F14" s="130">
        <v>57812035</v>
      </c>
      <c r="G14" s="101">
        <f>F14/F17</f>
        <v>0.93829864057956092</v>
      </c>
      <c r="I14" t="s">
        <v>138</v>
      </c>
      <c r="J14" s="16">
        <f>F14/C14-1</f>
        <v>0.50447239762633411</v>
      </c>
    </row>
    <row r="15" spans="2:13">
      <c r="B15" t="s">
        <v>139</v>
      </c>
      <c r="C15" s="99">
        <v>3885887.2</v>
      </c>
      <c r="D15" s="101">
        <f>C15/C17</f>
        <v>9.1837436449706766E-2</v>
      </c>
      <c r="E15" s="101"/>
      <c r="F15" s="99">
        <v>3801648</v>
      </c>
      <c r="G15" s="101">
        <f>F15/F17</f>
        <v>6.1701359420439125E-2</v>
      </c>
      <c r="I15" t="s">
        <v>139</v>
      </c>
      <c r="J15" s="16">
        <f>F15/C15-1</f>
        <v>-2.1678241200619564E-2</v>
      </c>
      <c r="M15" s="131"/>
    </row>
    <row r="16" spans="2:13">
      <c r="C16" s="99"/>
    </row>
    <row r="17" spans="2:10">
      <c r="B17" t="s">
        <v>5</v>
      </c>
      <c r="C17" s="99">
        <f>SUM(C14:C16)</f>
        <v>42312670.63000001</v>
      </c>
      <c r="F17" s="17">
        <f>SUM(F14:F16)</f>
        <v>61613683</v>
      </c>
    </row>
    <row r="19" spans="2:10">
      <c r="C19" s="115" t="s">
        <v>141</v>
      </c>
      <c r="D19" s="115"/>
      <c r="E19" s="115"/>
      <c r="F19" s="115"/>
    </row>
    <row r="21" spans="2:10">
      <c r="C21" t="s">
        <v>142</v>
      </c>
      <c r="E21" t="s">
        <v>143</v>
      </c>
      <c r="G21" s="129" t="s">
        <v>144</v>
      </c>
    </row>
    <row r="22" spans="2:10">
      <c r="J22" s="16"/>
    </row>
    <row r="23" spans="2:10">
      <c r="B23" t="s">
        <v>11</v>
      </c>
      <c r="C23" s="129">
        <v>32945.119999999995</v>
      </c>
      <c r="D23" s="16">
        <f>C23/C26</f>
        <v>7.507221427368092E-3</v>
      </c>
      <c r="E23" s="129">
        <v>222318.82</v>
      </c>
      <c r="F23" s="16">
        <f>E23/E26</f>
        <v>4.1443699377896236E-2</v>
      </c>
      <c r="G23" s="129">
        <v>210684.71999999994</v>
      </c>
      <c r="H23" s="16">
        <f>G23/G26</f>
        <v>3.6344048767224815E-2</v>
      </c>
      <c r="J23" s="16"/>
    </row>
    <row r="24" spans="2:10">
      <c r="B24" t="s">
        <v>145</v>
      </c>
      <c r="C24" s="15">
        <f>C26-C23</f>
        <v>4355512.09</v>
      </c>
      <c r="D24" s="16">
        <f>C24/C26</f>
        <v>0.99249277857263185</v>
      </c>
      <c r="E24" s="15">
        <f t="shared" ref="E24:F24" si="0">E26-E23</f>
        <v>5142038.6899999995</v>
      </c>
      <c r="F24" s="16">
        <f>E24/E26</f>
        <v>0.95855630062210373</v>
      </c>
      <c r="G24" s="15">
        <f>G26-G23</f>
        <v>5586267.6600000001</v>
      </c>
      <c r="H24" s="16">
        <f>G24/G26</f>
        <v>0.96365595123277525</v>
      </c>
      <c r="J24" s="16"/>
    </row>
    <row r="26" spans="2:10">
      <c r="B26" t="s">
        <v>5</v>
      </c>
      <c r="C26" s="15">
        <v>4388457.21</v>
      </c>
      <c r="E26" s="15">
        <v>5364357.51</v>
      </c>
      <c r="G26" s="15">
        <v>5796952.3799999999</v>
      </c>
      <c r="I26" s="16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I20"/>
  <sheetViews>
    <sheetView topLeftCell="A3" workbookViewId="0">
      <selection activeCell="B22" sqref="B22"/>
    </sheetView>
  </sheetViews>
  <sheetFormatPr defaultRowHeight="14.5"/>
  <cols>
    <col min="2" max="2" width="40.26953125" bestFit="1" customWidth="1"/>
    <col min="3" max="3" width="11.1796875" bestFit="1" customWidth="1"/>
    <col min="4" max="4" width="10.453125" bestFit="1" customWidth="1"/>
    <col min="5" max="5" width="11.1796875" bestFit="1" customWidth="1"/>
    <col min="6" max="7" width="9.6328125" bestFit="1" customWidth="1"/>
    <col min="8" max="8" width="12.08984375" bestFit="1" customWidth="1"/>
    <col min="9" max="9" width="14.81640625" bestFit="1" customWidth="1"/>
  </cols>
  <sheetData>
    <row r="2" spans="2:9" ht="15" thickBot="1"/>
    <row r="3" spans="2:9" ht="21.5" thickBot="1">
      <c r="B3" s="19" t="s">
        <v>60</v>
      </c>
      <c r="C3" s="20"/>
      <c r="D3" s="21"/>
      <c r="E3" s="21"/>
    </row>
    <row r="4" spans="2:9" ht="19" thickBot="1">
      <c r="B4" s="22"/>
      <c r="C4" s="117" t="s">
        <v>61</v>
      </c>
      <c r="D4" s="118"/>
      <c r="E4" s="118"/>
    </row>
    <row r="5" spans="2:9" ht="15" thickBot="1">
      <c r="B5" s="23"/>
      <c r="C5" s="24"/>
      <c r="D5" s="25"/>
      <c r="E5" s="25"/>
    </row>
    <row r="6" spans="2:9" ht="15" thickBot="1">
      <c r="C6" s="27" t="s">
        <v>15</v>
      </c>
      <c r="D6" s="119" t="s">
        <v>20</v>
      </c>
      <c r="E6" s="119"/>
      <c r="F6" s="119"/>
      <c r="G6" s="119"/>
      <c r="H6" s="119"/>
      <c r="I6" s="128" t="s">
        <v>134</v>
      </c>
    </row>
    <row r="7" spans="2:9" ht="16.5" thickBot="1">
      <c r="B7" s="26" t="s">
        <v>19</v>
      </c>
      <c r="C7" s="29"/>
      <c r="D7" s="31" t="s">
        <v>76</v>
      </c>
      <c r="E7" s="31" t="s">
        <v>77</v>
      </c>
      <c r="F7" s="31" t="s">
        <v>78</v>
      </c>
      <c r="G7" s="31" t="s">
        <v>79</v>
      </c>
      <c r="H7" s="31" t="s">
        <v>54</v>
      </c>
    </row>
    <row r="8" spans="2:9">
      <c r="B8" s="28" t="s">
        <v>21</v>
      </c>
      <c r="C8" s="29">
        <f>Inflow!C32</f>
        <v>15385400</v>
      </c>
      <c r="D8" s="30">
        <f>Inflow!E32</f>
        <v>0</v>
      </c>
      <c r="E8" s="30">
        <f>Inflow!F32</f>
        <v>70000</v>
      </c>
      <c r="F8" s="30">
        <f>Inflow!G32</f>
        <v>40000</v>
      </c>
      <c r="G8" s="30">
        <f>Inflow!H32</f>
        <v>5040000</v>
      </c>
      <c r="H8" s="30">
        <f>SUM(D8:G8)</f>
        <v>5150000</v>
      </c>
      <c r="I8" s="17">
        <f>C8-SUM(D8:G8)</f>
        <v>10235400</v>
      </c>
    </row>
    <row r="9" spans="2:9">
      <c r="B9" s="28" t="s">
        <v>22</v>
      </c>
      <c r="C9" s="29">
        <f>Inflow!C33</f>
        <v>11000000</v>
      </c>
      <c r="D9" s="29">
        <f>Inflow!E33</f>
        <v>355520</v>
      </c>
      <c r="E9" s="29">
        <f>Inflow!F33</f>
        <v>607764</v>
      </c>
      <c r="F9" s="29">
        <f>Inflow!G33</f>
        <v>2608847</v>
      </c>
      <c r="G9" s="29">
        <f>Inflow!H33</f>
        <v>4051004</v>
      </c>
      <c r="H9" s="30">
        <f t="shared" ref="H9:H11" si="0">SUM(D9:G9)</f>
        <v>7623135</v>
      </c>
      <c r="I9" s="17">
        <f t="shared" ref="I9:I10" si="1">C9-SUM(D9:G9)</f>
        <v>3376865</v>
      </c>
    </row>
    <row r="10" spans="2:9">
      <c r="B10" s="28" t="s">
        <v>25</v>
      </c>
      <c r="C10" s="29">
        <f>Inflow!C35</f>
        <v>500000</v>
      </c>
      <c r="D10" s="29">
        <f>Inflow!E35</f>
        <v>0</v>
      </c>
      <c r="E10" s="29">
        <f>Inflow!F35</f>
        <v>34880</v>
      </c>
      <c r="F10" s="29">
        <f>Inflow!G35</f>
        <v>0</v>
      </c>
      <c r="G10" s="29">
        <f>Inflow!H35</f>
        <v>0</v>
      </c>
      <c r="H10" s="30">
        <f t="shared" si="0"/>
        <v>34880</v>
      </c>
      <c r="I10" s="17">
        <f t="shared" si="1"/>
        <v>465120</v>
      </c>
    </row>
    <row r="11" spans="2:9" ht="15" thickBot="1">
      <c r="B11" s="28" t="s">
        <v>54</v>
      </c>
      <c r="C11" s="51">
        <f t="shared" ref="C11:I11" si="2">SUM(C8:C10)</f>
        <v>26885400</v>
      </c>
      <c r="D11" s="51">
        <f t="shared" si="2"/>
        <v>355520</v>
      </c>
      <c r="E11" s="51">
        <f t="shared" si="2"/>
        <v>712644</v>
      </c>
      <c r="F11" s="51">
        <f t="shared" si="2"/>
        <v>2648847</v>
      </c>
      <c r="G11" s="51">
        <f t="shared" si="2"/>
        <v>9091004</v>
      </c>
      <c r="H11" s="30">
        <f t="shared" si="0"/>
        <v>12808015</v>
      </c>
      <c r="I11" s="51">
        <f t="shared" si="2"/>
        <v>14077385</v>
      </c>
    </row>
    <row r="12" spans="2:9" ht="16.5" thickBot="1">
      <c r="B12" s="26" t="s">
        <v>135</v>
      </c>
      <c r="C12" s="29"/>
      <c r="D12" s="31"/>
      <c r="E12" s="31"/>
      <c r="I12" s="15">
        <v>11500000</v>
      </c>
    </row>
    <row r="13" spans="2:9">
      <c r="B13" s="28"/>
      <c r="C13" s="29"/>
      <c r="D13" s="31"/>
      <c r="E13" s="31"/>
    </row>
    <row r="14" spans="2:9" ht="15" thickBot="1">
      <c r="B14" s="37"/>
      <c r="C14" s="29"/>
      <c r="D14" s="31"/>
      <c r="E14" s="31"/>
    </row>
    <row r="15" spans="2:9" ht="15" thickBot="1">
      <c r="B15" s="28" t="s">
        <v>23</v>
      </c>
      <c r="C15" s="29"/>
      <c r="D15" s="31"/>
      <c r="E15" s="31"/>
      <c r="I15" s="72">
        <f>SUM(C16:C18)</f>
        <v>10255000</v>
      </c>
    </row>
    <row r="16" spans="2:9" ht="15" thickBot="1">
      <c r="B16" s="35" t="s">
        <v>27</v>
      </c>
      <c r="C16" s="104">
        <v>6875698</v>
      </c>
    </row>
    <row r="17" spans="2:9" ht="15" thickBot="1">
      <c r="B17" s="35" t="s">
        <v>26</v>
      </c>
      <c r="C17" s="104">
        <v>1431113</v>
      </c>
    </row>
    <row r="18" spans="2:9" ht="15" thickBot="1">
      <c r="B18" s="35" t="s">
        <v>28</v>
      </c>
      <c r="C18" s="105">
        <v>1948189</v>
      </c>
    </row>
    <row r="20" spans="2:9">
      <c r="B20" s="32" t="s">
        <v>136</v>
      </c>
      <c r="I20" s="72">
        <f>I15-I12</f>
        <v>-1245000</v>
      </c>
    </row>
  </sheetData>
  <mergeCells count="2">
    <mergeCell ref="C4:E4"/>
    <mergeCell ref="D6:H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I47"/>
  <sheetViews>
    <sheetView topLeftCell="A28" workbookViewId="0">
      <selection activeCell="H45" sqref="H45:H47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8" max="8" width="12.1796875" bestFit="1" customWidth="1"/>
    <col min="9" max="9" width="11.1796875" bestFit="1" customWidth="1"/>
  </cols>
  <sheetData>
    <row r="3" spans="2:9" ht="15" thickBot="1"/>
    <row r="4" spans="2:9" ht="21.5" thickBot="1">
      <c r="B4" s="19" t="s">
        <v>66</v>
      </c>
      <c r="C4" s="20"/>
      <c r="D4" s="40"/>
      <c r="E4" s="21"/>
      <c r="F4" s="21"/>
      <c r="G4" s="21"/>
      <c r="H4" s="21"/>
      <c r="I4" s="21"/>
    </row>
    <row r="5" spans="2:9" ht="19" thickBot="1">
      <c r="B5" s="22"/>
      <c r="C5" s="117" t="s">
        <v>92</v>
      </c>
      <c r="D5" s="118"/>
      <c r="E5" s="118"/>
      <c r="F5" s="118"/>
      <c r="G5" s="49"/>
      <c r="H5" s="49"/>
      <c r="I5" s="49"/>
    </row>
    <row r="6" spans="2:9" ht="15" thickBot="1">
      <c r="B6" s="23"/>
      <c r="C6" s="24"/>
      <c r="D6" s="24"/>
      <c r="E6" s="120" t="s">
        <v>53</v>
      </c>
      <c r="F6" s="120"/>
      <c r="G6" s="120"/>
      <c r="H6" s="50"/>
      <c r="I6" s="50"/>
    </row>
    <row r="7" spans="2:9" ht="38" customHeight="1">
      <c r="B7" s="76" t="s">
        <v>19</v>
      </c>
      <c r="C7" s="77" t="s">
        <v>15</v>
      </c>
      <c r="D7" s="77"/>
      <c r="E7" s="78" t="s">
        <v>20</v>
      </c>
      <c r="F7" s="78"/>
      <c r="G7" s="78"/>
      <c r="H7" s="78"/>
      <c r="I7" s="79" t="s">
        <v>134</v>
      </c>
    </row>
    <row r="8" spans="2:9">
      <c r="B8" s="80" t="s">
        <v>56</v>
      </c>
      <c r="C8" s="81"/>
      <c r="D8" s="81"/>
      <c r="E8" s="82" t="s">
        <v>76</v>
      </c>
      <c r="F8" s="82" t="s">
        <v>77</v>
      </c>
      <c r="G8" s="82" t="s">
        <v>78</v>
      </c>
      <c r="H8" s="82" t="s">
        <v>79</v>
      </c>
      <c r="I8" s="82"/>
    </row>
    <row r="9" spans="2:9">
      <c r="B9" s="80" t="s">
        <v>24</v>
      </c>
      <c r="C9" s="81"/>
      <c r="D9" s="81"/>
      <c r="E9" s="82"/>
      <c r="F9" s="82"/>
      <c r="G9" s="82"/>
      <c r="H9" s="82"/>
      <c r="I9" s="82"/>
    </row>
    <row r="10" spans="2:9">
      <c r="B10" s="84" t="s">
        <v>83</v>
      </c>
      <c r="C10" s="85">
        <v>1800000</v>
      </c>
      <c r="D10" s="81"/>
      <c r="E10" s="38"/>
      <c r="F10" s="38"/>
      <c r="G10" s="38"/>
      <c r="H10" s="38"/>
      <c r="I10" s="82">
        <f>C10-SUM(E10:H10)</f>
        <v>1800000</v>
      </c>
    </row>
    <row r="11" spans="2:9">
      <c r="B11" s="86" t="s">
        <v>84</v>
      </c>
      <c r="C11" s="85">
        <v>1000000</v>
      </c>
      <c r="D11" s="83"/>
      <c r="E11" s="83"/>
      <c r="F11" s="83"/>
      <c r="G11" s="83"/>
      <c r="H11" s="83"/>
      <c r="I11" s="82">
        <f t="shared" ref="I11:I39" si="0">C11-SUM(E11:H11)</f>
        <v>1000000</v>
      </c>
    </row>
    <row r="12" spans="2:9">
      <c r="B12" s="84" t="s">
        <v>86</v>
      </c>
      <c r="C12" s="85">
        <v>825000</v>
      </c>
      <c r="D12" s="81"/>
      <c r="E12" s="38"/>
      <c r="F12" s="38"/>
      <c r="G12" s="38"/>
      <c r="H12" s="38"/>
      <c r="I12" s="82">
        <f t="shared" si="0"/>
        <v>825000</v>
      </c>
    </row>
    <row r="13" spans="2:9">
      <c r="B13" s="84" t="s">
        <v>47</v>
      </c>
      <c r="C13" s="85">
        <v>680400</v>
      </c>
      <c r="D13" s="81"/>
      <c r="E13" s="82"/>
      <c r="F13" s="82"/>
      <c r="G13" s="82"/>
      <c r="H13" s="82"/>
      <c r="I13" s="82">
        <f t="shared" si="0"/>
        <v>680400</v>
      </c>
    </row>
    <row r="14" spans="2:9">
      <c r="B14" s="86" t="s">
        <v>48</v>
      </c>
      <c r="C14" s="85">
        <v>1080000</v>
      </c>
      <c r="D14" s="81"/>
      <c r="E14" s="82"/>
      <c r="F14" s="82"/>
      <c r="G14" s="82"/>
      <c r="H14" s="82"/>
      <c r="I14" s="82">
        <f t="shared" si="0"/>
        <v>1080000</v>
      </c>
    </row>
    <row r="15" spans="2:9">
      <c r="B15" s="86" t="s">
        <v>97</v>
      </c>
      <c r="C15" s="85">
        <v>700000</v>
      </c>
      <c r="D15" s="81"/>
      <c r="E15" s="82"/>
      <c r="F15" s="82"/>
      <c r="G15" s="82"/>
      <c r="H15" s="82"/>
      <c r="I15" s="82">
        <f t="shared" si="0"/>
        <v>700000</v>
      </c>
    </row>
    <row r="16" spans="2:9">
      <c r="B16" s="84" t="s">
        <v>98</v>
      </c>
      <c r="C16" s="85">
        <v>800000</v>
      </c>
      <c r="D16" s="81"/>
      <c r="E16" s="82"/>
      <c r="F16" s="82"/>
      <c r="G16" s="82"/>
      <c r="H16" s="82"/>
      <c r="I16" s="82">
        <f t="shared" si="0"/>
        <v>800000</v>
      </c>
    </row>
    <row r="17" spans="2:9">
      <c r="B17" s="84"/>
      <c r="C17" s="83"/>
      <c r="D17" s="83"/>
      <c r="E17" s="83"/>
      <c r="F17" s="83"/>
      <c r="G17" s="83"/>
      <c r="H17" s="83"/>
      <c r="I17" s="82">
        <f t="shared" si="0"/>
        <v>0</v>
      </c>
    </row>
    <row r="18" spans="2:9">
      <c r="B18" s="84" t="s">
        <v>85</v>
      </c>
      <c r="C18" s="85">
        <v>750000</v>
      </c>
      <c r="D18" s="81"/>
      <c r="E18" s="38"/>
      <c r="F18" s="38"/>
      <c r="G18" s="38"/>
      <c r="H18" s="38"/>
      <c r="I18" s="82">
        <f>C18-SUM(E18:H18)</f>
        <v>750000</v>
      </c>
    </row>
    <row r="19" spans="2:9">
      <c r="B19" s="84" t="s">
        <v>51</v>
      </c>
      <c r="C19" s="85">
        <v>5000000</v>
      </c>
      <c r="D19" s="87"/>
      <c r="E19" s="82"/>
      <c r="F19" s="82"/>
      <c r="G19" s="82"/>
      <c r="H19" s="82">
        <v>5000000</v>
      </c>
      <c r="I19" s="82">
        <f t="shared" si="0"/>
        <v>0</v>
      </c>
    </row>
    <row r="20" spans="2:9">
      <c r="B20" s="84" t="s">
        <v>99</v>
      </c>
      <c r="C20" s="85">
        <v>1750000</v>
      </c>
      <c r="D20" s="87"/>
      <c r="E20" s="82"/>
      <c r="F20" s="82"/>
      <c r="G20" s="82"/>
      <c r="H20" s="82"/>
      <c r="I20" s="82">
        <f t="shared" si="0"/>
        <v>1750000</v>
      </c>
    </row>
    <row r="21" spans="2:9">
      <c r="B21" s="39"/>
      <c r="C21" s="83"/>
      <c r="D21" s="83"/>
      <c r="E21" s="83"/>
      <c r="F21" s="83"/>
      <c r="G21" s="83"/>
      <c r="H21" s="83"/>
      <c r="I21" s="82">
        <f t="shared" si="0"/>
        <v>0</v>
      </c>
    </row>
    <row r="22" spans="2:9">
      <c r="B22" s="80" t="s">
        <v>49</v>
      </c>
      <c r="C22" s="81">
        <f t="shared" ref="C22" si="1">K22+M22</f>
        <v>0</v>
      </c>
      <c r="D22" s="81"/>
      <c r="E22" s="82"/>
      <c r="F22" s="82"/>
      <c r="G22" s="82"/>
      <c r="H22" s="82"/>
      <c r="I22" s="82">
        <f t="shared" si="0"/>
        <v>0</v>
      </c>
    </row>
    <row r="23" spans="2:9">
      <c r="B23" s="86" t="s">
        <v>50</v>
      </c>
      <c r="C23" s="85">
        <v>300000</v>
      </c>
      <c r="D23" s="81"/>
      <c r="E23" s="38"/>
      <c r="F23" s="38"/>
      <c r="G23" s="38"/>
      <c r="H23" s="38"/>
      <c r="I23" s="82">
        <f t="shared" si="0"/>
        <v>300000</v>
      </c>
    </row>
    <row r="24" spans="2:9">
      <c r="B24" s="86" t="s">
        <v>87</v>
      </c>
      <c r="C24" s="85">
        <v>150000</v>
      </c>
      <c r="D24" s="81"/>
      <c r="E24" s="38"/>
      <c r="F24" s="38"/>
      <c r="G24" s="38"/>
      <c r="H24" s="38"/>
      <c r="I24" s="82">
        <f t="shared" si="0"/>
        <v>150000</v>
      </c>
    </row>
    <row r="25" spans="2:9">
      <c r="B25" s="84" t="s">
        <v>100</v>
      </c>
      <c r="C25" s="85">
        <v>400000</v>
      </c>
      <c r="D25" s="81"/>
      <c r="E25" s="38"/>
      <c r="F25" s="38"/>
      <c r="G25" s="38"/>
      <c r="H25" s="38"/>
      <c r="I25" s="82">
        <f t="shared" si="0"/>
        <v>400000</v>
      </c>
    </row>
    <row r="26" spans="2:9">
      <c r="B26" s="84" t="s">
        <v>101</v>
      </c>
      <c r="C26" s="85">
        <v>50000</v>
      </c>
      <c r="D26" s="81"/>
      <c r="E26" s="38"/>
      <c r="F26" s="81">
        <v>50000</v>
      </c>
      <c r="G26" s="38"/>
      <c r="H26" s="38"/>
      <c r="I26" s="82">
        <f t="shared" si="0"/>
        <v>0</v>
      </c>
    </row>
    <row r="27" spans="2:9">
      <c r="B27" s="84"/>
      <c r="C27" s="85"/>
      <c r="D27" s="81"/>
      <c r="E27" s="38"/>
      <c r="F27" s="38"/>
      <c r="G27" s="38"/>
      <c r="H27" s="38"/>
      <c r="I27" s="82">
        <f t="shared" si="0"/>
        <v>0</v>
      </c>
    </row>
    <row r="28" spans="2:9">
      <c r="B28" s="84"/>
      <c r="C28" s="85"/>
      <c r="D28" s="81"/>
      <c r="E28" s="82"/>
      <c r="F28" s="82"/>
      <c r="G28" s="82"/>
      <c r="H28" s="82"/>
      <c r="I28" s="82">
        <f t="shared" si="0"/>
        <v>0</v>
      </c>
    </row>
    <row r="29" spans="2:9">
      <c r="B29" s="80"/>
      <c r="C29" s="81"/>
      <c r="D29" s="81"/>
      <c r="E29" s="82"/>
      <c r="F29" s="82"/>
      <c r="G29" s="82"/>
      <c r="H29" s="82"/>
      <c r="I29" s="82">
        <f t="shared" si="0"/>
        <v>0</v>
      </c>
    </row>
    <row r="30" spans="2:9">
      <c r="B30" s="88" t="s">
        <v>52</v>
      </c>
      <c r="C30" s="81">
        <v>100000</v>
      </c>
      <c r="D30" s="81"/>
      <c r="E30" s="81">
        <v>0</v>
      </c>
      <c r="F30" s="81">
        <v>20000</v>
      </c>
      <c r="G30" s="81">
        <v>40000</v>
      </c>
      <c r="H30" s="81">
        <v>40000</v>
      </c>
      <c r="I30" s="82">
        <f t="shared" si="0"/>
        <v>0</v>
      </c>
    </row>
    <row r="31" spans="2:9">
      <c r="B31" s="80"/>
      <c r="C31" s="81"/>
      <c r="D31" s="81"/>
      <c r="E31" s="81"/>
      <c r="F31" s="81"/>
      <c r="G31" s="81"/>
      <c r="H31" s="81"/>
      <c r="I31" s="82">
        <f t="shared" si="0"/>
        <v>0</v>
      </c>
    </row>
    <row r="32" spans="2:9">
      <c r="B32" s="80" t="s">
        <v>59</v>
      </c>
      <c r="C32" s="81">
        <f>SUM(C10:C30)</f>
        <v>15385400</v>
      </c>
      <c r="D32" s="81">
        <f t="shared" ref="D32:H32" si="2">SUM(D12:D30)</f>
        <v>0</v>
      </c>
      <c r="E32" s="81">
        <f t="shared" si="2"/>
        <v>0</v>
      </c>
      <c r="F32" s="81">
        <f t="shared" si="2"/>
        <v>70000</v>
      </c>
      <c r="G32" s="81">
        <f t="shared" si="2"/>
        <v>40000</v>
      </c>
      <c r="H32" s="81">
        <f t="shared" si="2"/>
        <v>5040000</v>
      </c>
      <c r="I32" s="82">
        <f t="shared" si="0"/>
        <v>10235400</v>
      </c>
    </row>
    <row r="33" spans="2:9">
      <c r="B33" s="33" t="s">
        <v>57</v>
      </c>
      <c r="C33" s="97">
        <f>11000000</f>
        <v>11000000</v>
      </c>
      <c r="D33" s="41"/>
      <c r="E33" s="17">
        <v>355520</v>
      </c>
      <c r="F33" s="98">
        <v>607764</v>
      </c>
      <c r="G33" s="98">
        <f>3444773+127358-F33-E33</f>
        <v>2608847</v>
      </c>
      <c r="H33" s="66">
        <f>7658015-34880-SUM(E33:G33)</f>
        <v>4051004</v>
      </c>
      <c r="I33" s="82">
        <f t="shared" si="0"/>
        <v>3376865</v>
      </c>
    </row>
    <row r="34" spans="2:9">
      <c r="B34" s="42"/>
      <c r="C34" s="41"/>
      <c r="D34" s="41"/>
      <c r="E34" s="34"/>
      <c r="F34" s="34"/>
      <c r="G34" s="34"/>
      <c r="H34" s="34"/>
      <c r="I34" s="82">
        <f t="shared" si="0"/>
        <v>0</v>
      </c>
    </row>
    <row r="35" spans="2:9">
      <c r="B35" s="42" t="s">
        <v>58</v>
      </c>
      <c r="C35" s="41">
        <v>500000</v>
      </c>
      <c r="D35" s="41"/>
      <c r="E35" s="34">
        <v>0</v>
      </c>
      <c r="F35" s="34">
        <v>34880</v>
      </c>
      <c r="G35" s="34"/>
      <c r="H35" s="29"/>
      <c r="I35" s="82">
        <f t="shared" si="0"/>
        <v>465120</v>
      </c>
    </row>
    <row r="36" spans="2:9">
      <c r="B36" s="42"/>
      <c r="C36" s="41"/>
      <c r="D36" s="41"/>
      <c r="E36" s="34"/>
      <c r="F36" s="34"/>
      <c r="G36" s="34"/>
      <c r="H36" s="34"/>
      <c r="I36" s="82">
        <f t="shared" si="0"/>
        <v>0</v>
      </c>
    </row>
    <row r="37" spans="2:9">
      <c r="E37" s="17"/>
      <c r="I37" s="82">
        <f t="shared" si="0"/>
        <v>0</v>
      </c>
    </row>
    <row r="38" spans="2:9">
      <c r="I38" s="82">
        <f t="shared" si="0"/>
        <v>0</v>
      </c>
    </row>
    <row r="39" spans="2:9">
      <c r="B39" t="s">
        <v>55</v>
      </c>
      <c r="C39" s="17">
        <f>C32+C33+C35</f>
        <v>26885400</v>
      </c>
      <c r="D39" s="17">
        <f t="shared" ref="D39:H39" si="3">D32+D33+D35</f>
        <v>0</v>
      </c>
      <c r="E39" s="17">
        <f t="shared" si="3"/>
        <v>355520</v>
      </c>
      <c r="F39" s="17">
        <f t="shared" si="3"/>
        <v>712644</v>
      </c>
      <c r="G39" s="17">
        <f t="shared" si="3"/>
        <v>2648847</v>
      </c>
      <c r="H39" s="17">
        <f t="shared" si="3"/>
        <v>9091004</v>
      </c>
      <c r="I39" s="82">
        <f t="shared" si="0"/>
        <v>14077385</v>
      </c>
    </row>
    <row r="45" spans="2:9">
      <c r="H45" s="15"/>
    </row>
    <row r="46" spans="2:9">
      <c r="H46" s="15"/>
    </row>
    <row r="47" spans="2:9">
      <c r="H47" s="15"/>
    </row>
  </sheetData>
  <mergeCells count="2">
    <mergeCell ref="C5:F5"/>
    <mergeCell ref="E6:G6"/>
  </mergeCells>
  <phoneticPr fontId="6" type="noConversion"/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29</v>
      </c>
      <c r="D5" s="15">
        <v>400000</v>
      </c>
      <c r="F5" s="36" t="s">
        <v>39</v>
      </c>
      <c r="G5" s="29"/>
      <c r="H5" s="31"/>
      <c r="I5" s="29">
        <v>10600000</v>
      </c>
      <c r="K5" s="36" t="s">
        <v>39</v>
      </c>
      <c r="L5" s="29"/>
      <c r="M5" s="31"/>
      <c r="N5" s="29">
        <v>11000000</v>
      </c>
    </row>
    <row r="6" spans="3:14">
      <c r="C6" t="s">
        <v>34</v>
      </c>
      <c r="D6" s="15">
        <v>200000</v>
      </c>
      <c r="F6" s="36" t="s">
        <v>43</v>
      </c>
      <c r="G6" s="29"/>
      <c r="H6" s="31"/>
      <c r="I6" s="29">
        <v>124266</v>
      </c>
      <c r="K6" s="36" t="s">
        <v>43</v>
      </c>
      <c r="L6" s="29"/>
      <c r="M6" s="31"/>
      <c r="N6" s="29">
        <v>124266</v>
      </c>
    </row>
    <row r="7" spans="3:14">
      <c r="C7" t="s">
        <v>30</v>
      </c>
      <c r="D7" s="15">
        <v>300000</v>
      </c>
      <c r="F7" s="36" t="s">
        <v>40</v>
      </c>
      <c r="G7" s="29"/>
      <c r="H7" s="31"/>
      <c r="I7" s="29">
        <v>500000</v>
      </c>
      <c r="K7" s="36" t="s">
        <v>40</v>
      </c>
      <c r="L7" s="29"/>
      <c r="M7" s="31"/>
      <c r="N7" s="29">
        <v>500000</v>
      </c>
    </row>
    <row r="8" spans="3:14">
      <c r="C8" t="s">
        <v>31</v>
      </c>
      <c r="D8" s="15">
        <f>350000*0</f>
        <v>0</v>
      </c>
      <c r="F8" s="36" t="s">
        <v>41</v>
      </c>
      <c r="G8" s="29"/>
      <c r="H8" s="31"/>
      <c r="I8" s="29">
        <v>500000</v>
      </c>
      <c r="K8" s="36" t="s">
        <v>41</v>
      </c>
      <c r="L8" s="29"/>
      <c r="M8" s="31"/>
      <c r="N8" s="29">
        <v>500000</v>
      </c>
    </row>
    <row r="9" spans="3:14">
      <c r="C9" t="s">
        <v>32</v>
      </c>
      <c r="D9" s="15">
        <v>350000</v>
      </c>
      <c r="F9" s="36" t="s">
        <v>42</v>
      </c>
      <c r="G9" s="29"/>
      <c r="H9" s="31"/>
      <c r="I9" s="29">
        <v>2000000</v>
      </c>
      <c r="K9" s="52" t="s">
        <v>69</v>
      </c>
      <c r="N9" s="29">
        <v>500000</v>
      </c>
    </row>
    <row r="10" spans="3:14">
      <c r="C10" t="s">
        <v>33</v>
      </c>
      <c r="D10" s="15"/>
      <c r="F10" s="36" t="s">
        <v>44</v>
      </c>
      <c r="G10" s="29"/>
      <c r="H10" s="31"/>
      <c r="I10" s="29">
        <v>916634.45</v>
      </c>
      <c r="K10" s="52" t="s">
        <v>70</v>
      </c>
      <c r="N10" s="29">
        <v>361000</v>
      </c>
    </row>
    <row r="11" spans="3:14">
      <c r="C11" t="s">
        <v>35</v>
      </c>
      <c r="D11" s="15"/>
      <c r="K11" s="52" t="s">
        <v>71</v>
      </c>
      <c r="N11" s="29">
        <v>500000</v>
      </c>
    </row>
    <row r="12" spans="3:14">
      <c r="C12" t="s">
        <v>36</v>
      </c>
      <c r="D12" s="15">
        <v>100000</v>
      </c>
      <c r="K12" s="52" t="s">
        <v>72</v>
      </c>
      <c r="N12" s="29">
        <v>200000</v>
      </c>
    </row>
    <row r="13" spans="3:14">
      <c r="C13" t="s">
        <v>37</v>
      </c>
      <c r="D13" s="15">
        <v>200000</v>
      </c>
      <c r="I13" s="17">
        <f>SUM(I5:I12)</f>
        <v>14640900.449999999</v>
      </c>
      <c r="N13" s="17">
        <f>SUM(N5:N12)</f>
        <v>13685266</v>
      </c>
    </row>
    <row r="14" spans="3:14">
      <c r="C14" t="s">
        <v>38</v>
      </c>
      <c r="D14" s="15">
        <v>100000</v>
      </c>
    </row>
    <row r="16" spans="3:14">
      <c r="D16" s="17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2026-04-26T17:07:58Z</dcterms:modified>
</cp:coreProperties>
</file>