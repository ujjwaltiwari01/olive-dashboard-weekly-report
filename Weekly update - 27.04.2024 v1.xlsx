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ersons/person.xml" ContentType="application/vnd.ms-excel.perso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29929"/>
  <mc:AlternateContent xmlns:mc="http://schemas.openxmlformats.org/markup-compatibility/2006">
    <mc:Choice Requires="x15">
      <x15ac:absPath xmlns:x15ac="http://schemas.microsoft.com/office/spreadsheetml/2010/11/ac" url="D:\olive weekly report dashboard\"/>
    </mc:Choice>
  </mc:AlternateContent>
  <bookViews>
    <workbookView xWindow="-80" yWindow="-80" windowWidth="19360" windowHeight="11440" activeTab="2"/>
  </bookViews>
  <sheets>
    <sheet name="Signings" sheetId="7" r:id="rId1"/>
    <sheet name="Operational" sheetId="2" r:id="rId2"/>
    <sheet name="Revenue" sheetId="3" r:id="rId3"/>
    <sheet name="cashflow" sheetId="4" r:id="rId4"/>
    <sheet name="Inflow" sheetId="5" r:id="rId5"/>
    <sheet name="Sheet1" sheetId="6" r:id="rId6"/>
  </sheets>
  <calcPr/>
</workbook>
</file>

<file path=xl/calcChain.xml><?xml version="1.0" encoding="utf-8"?>
<calcChain xmlns="http://schemas.openxmlformats.org/spreadsheetml/2006/main">
  <c i="4" l="1" r="I20"/>
  <c i="5" l="1" r="C33"/>
  <c r="G33"/>
  <c r="H33"/>
  <c i="2" l="1" r="F22"/>
  <c i="7" r="O13"/>
  <c i="2" l="1" r="Q5"/>
  <c i="5" r="D39"/>
  <c i="4" r="E10"/>
  <c r="F10"/>
  <c r="G10"/>
  <c r="D10"/>
  <c r="H10"/>
  <c r="E9"/>
  <c r="F9"/>
  <c r="G9"/>
  <c r="H9"/>
  <c r="D9"/>
  <c r="E8"/>
  <c i="5" r="I36"/>
  <c r="I37"/>
  <c r="I38"/>
  <c r="I34"/>
  <c r="I35"/>
  <c r="I33"/>
  <c r="H32"/>
  <c r="G32"/>
  <c r="F32"/>
  <c r="E32"/>
  <c r="D32"/>
  <c r="I31"/>
  <c r="I30"/>
  <c r="I29"/>
  <c r="I28"/>
  <c r="I27"/>
  <c r="I26"/>
  <c r="I25"/>
  <c r="I24"/>
  <c r="I23"/>
  <c r="C22"/>
  <c r="I22"/>
  <c r="I21"/>
  <c r="I20"/>
  <c r="I19"/>
  <c r="I18"/>
  <c r="I17"/>
  <c r="I16"/>
  <c r="I15"/>
  <c r="I14"/>
  <c r="I13"/>
  <c r="I12"/>
  <c r="I11"/>
  <c r="I10"/>
  <c l="1" r="F39"/>
  <c r="G39"/>
  <c r="E39"/>
  <c r="C32"/>
  <c i="4" r="D8"/>
  <c r="F8"/>
  <c i="5" r="H39"/>
  <c i="4" r="G8"/>
  <c r="H8"/>
  <c i="5" r="I32"/>
  <c i="7" r="P13"/>
  <c r="G26"/>
  <c r="G25"/>
  <c r="O4"/>
  <c r="P4"/>
  <c r="G24"/>
  <c r="O14"/>
  <c r="P14"/>
  <c r="B16"/>
  <c r="C16"/>
  <c r="D16"/>
  <c r="E16"/>
  <c r="F16"/>
  <c r="G16"/>
  <c r="H16"/>
  <c r="I16"/>
  <c r="J16"/>
  <c r="K16"/>
  <c r="L16"/>
  <c r="M16"/>
  <c r="N16"/>
  <c r="O16"/>
  <c r="C15"/>
  <c r="D15"/>
  <c r="E15"/>
  <c r="F15"/>
  <c r="G15"/>
  <c r="H15"/>
  <c r="I15"/>
  <c r="J15"/>
  <c r="K15"/>
  <c r="L15"/>
  <c r="M15"/>
  <c r="N15"/>
  <c r="B15"/>
  <c r="B11"/>
  <c r="C11"/>
  <c r="D11"/>
  <c r="E11"/>
  <c r="F11"/>
  <c r="G11"/>
  <c r="H11"/>
  <c r="I11"/>
  <c r="J11"/>
  <c r="K11"/>
  <c r="L11"/>
  <c r="M11"/>
  <c r="N11"/>
  <c r="O11"/>
  <c r="P11"/>
  <c r="C10"/>
  <c r="D10"/>
  <c r="E10"/>
  <c r="F10"/>
  <c r="G10"/>
  <c r="H10"/>
  <c r="I10"/>
  <c r="J10"/>
  <c r="K10"/>
  <c r="L10"/>
  <c r="M10"/>
  <c r="N10"/>
  <c r="O10"/>
  <c r="B10"/>
  <c r="O9"/>
  <c r="P9"/>
  <c r="P10"/>
  <c r="P8"/>
  <c r="B6"/>
  <c r="C6"/>
  <c r="D6"/>
  <c r="E6"/>
  <c r="F6"/>
  <c r="G6"/>
  <c r="H6"/>
  <c r="I6"/>
  <c r="J6"/>
  <c r="K6"/>
  <c r="L6"/>
  <c r="M6"/>
  <c r="N6"/>
  <c r="O6"/>
  <c r="P6"/>
  <c r="C5"/>
  <c r="D5"/>
  <c r="E5"/>
  <c r="F5"/>
  <c r="G5"/>
  <c r="H5"/>
  <c r="I5"/>
  <c r="J5"/>
  <c r="K5"/>
  <c r="L5"/>
  <c r="M5"/>
  <c r="N5"/>
  <c r="O5"/>
  <c r="B5"/>
  <c r="P3"/>
  <c r="D1"/>
  <c r="E1"/>
  <c r="F1"/>
  <c r="G1"/>
  <c r="H1"/>
  <c r="I1"/>
  <c r="J1"/>
  <c r="K1"/>
  <c r="L1"/>
  <c r="M1"/>
  <c r="N1"/>
  <c r="O1"/>
  <c i="4" l="1" r="C8"/>
  <c r="I8"/>
  <c i="5" r="C39"/>
  <c r="I39"/>
  <c i="7" r="P16"/>
  <c r="O15"/>
  <c r="P15"/>
  <c r="P18"/>
  <c r="P5"/>
  <c r="P17"/>
  <c i="4" l="1" r="C9"/>
  <c r="I9"/>
  <c l="1" r="I15"/>
  <c i="2" r="E28"/>
  <c r="F28"/>
  <c r="G28"/>
  <c r="E29"/>
  <c r="F29"/>
  <c r="G29"/>
  <c r="D28"/>
  <c r="D29"/>
  <c r="H22"/>
  <c r="P10"/>
  <c r="Q10"/>
  <c r="H23"/>
  <c r="H24"/>
  <c r="H25"/>
  <c r="H21"/>
  <c r="P11"/>
  <c r="Q11"/>
  <c l="1" r="R10"/>
  <c r="H29"/>
  <c r="H28"/>
  <c i="4" l="1" r="F11"/>
  <c r="G11"/>
  <c l="1" r="D11"/>
  <c i="2" r="C29"/>
  <c r="C28"/>
  <c i="6" l="1" r="N13"/>
  <c l="1" r="D8"/>
  <c r="D16"/>
  <c i="3" r="J15"/>
  <c r="J14"/>
  <c r="J6"/>
  <c r="J5"/>
  <c i="4" r="E11"/>
  <c r="H11"/>
  <c i="2" r="C13"/>
  <c r="D13"/>
  <c r="E13"/>
  <c r="F13"/>
  <c r="G13"/>
  <c r="H13"/>
  <c r="I13"/>
  <c r="J13"/>
  <c r="K13"/>
  <c r="L13"/>
  <c r="M13"/>
  <c r="N13"/>
  <c r="O13"/>
  <c r="P13"/>
  <c r="Q13"/>
  <c r="Q6"/>
  <c r="C8"/>
  <c r="D8"/>
  <c r="E8"/>
  <c r="F8"/>
  <c r="G8"/>
  <c r="H8"/>
  <c r="I8"/>
  <c r="J8"/>
  <c r="K8"/>
  <c r="L8"/>
  <c r="M8"/>
  <c r="N8"/>
  <c r="O8"/>
  <c r="P8"/>
  <c r="P17"/>
  <c i="6" r="I13"/>
  <c i="2" l="1" r="Q8"/>
  <c i="4" l="1" r="C10"/>
  <c i="2" r="C12"/>
  <c r="D12"/>
  <c r="D14"/>
  <c r="C7"/>
  <c r="D7"/>
  <c i="4" l="1" r="C11"/>
  <c r="I10"/>
  <c r="I11"/>
  <c i="3" r="F26"/>
  <c r="C26"/>
  <c r="C17"/>
  <c r="D15"/>
  <c r="F17"/>
  <c r="J13"/>
  <c r="F8"/>
  <c r="G6"/>
  <c r="C8"/>
  <c r="D6"/>
  <c i="2" r="E12"/>
  <c r="E14"/>
  <c r="E7"/>
  <c r="F7"/>
  <c r="G7"/>
  <c r="H7"/>
  <c r="I7"/>
  <c r="J7"/>
  <c r="K7"/>
  <c r="L7"/>
  <c r="M7"/>
  <c r="N7"/>
  <c r="O7"/>
  <c r="E3"/>
  <c r="F3"/>
  <c r="G3"/>
  <c r="H3"/>
  <c r="I3"/>
  <c r="J3"/>
  <c r="K3"/>
  <c r="L3"/>
  <c r="M3"/>
  <c r="N3"/>
  <c r="O3"/>
  <c r="P3"/>
  <c l="1" r="F12"/>
  <c r="F14"/>
  <c i="3" r="G14"/>
  <c i="2" r="Q7"/>
  <c r="P7"/>
  <c i="3" r="G15"/>
  <c r="G5"/>
  <c r="J4"/>
  <c r="D14"/>
  <c r="J22"/>
  <c r="D5"/>
  <c i="2" l="1" r="G12"/>
  <c r="G14"/>
  <c l="1" r="H12"/>
  <c r="H14"/>
  <c l="1" r="I12"/>
  <c r="I14"/>
  <c l="1" r="J12"/>
  <c r="J14"/>
  <c l="1" r="K12"/>
  <c r="K14"/>
  <c l="1" r="L12"/>
  <c r="L14"/>
  <c l="1" r="M12"/>
  <c r="M14"/>
  <c l="1" r="N12"/>
  <c r="N14"/>
  <c l="1" r="O12"/>
  <c l="1" r="O14"/>
  <c r="P12"/>
  <c r="P18"/>
  <c r="R14"/>
  <c l="1" r="Q12"/>
</calcChain>
</file>

<file path=xl/comments1.xml><?xml version="1.0" encoding="utf-8"?>
<comments xmlns="http://schemas.openxmlformats.org/spreadsheetml/2006/main">
  <authors>
    <author>tc={4E6556D2-0A2F-4971-8F63-C779A68B9485}</author>
    <author>tc={9CFB65C3-A491-4F49-9291-182949A32499}</author>
    <author>tc={DF95D489-8FF7-426F-A630-91F27E5573F7}</author>
  </authors>
  <commentList>
    <comment ref="P5" authorId="0">
      <text>
        <r>
          <t xml:space="preserve">[Threaded comment]_x000A__x000A_Your version of Excel allows you to read this threaded comment; however, any edits to it will get removed if the file is opened in a newer version of Excel. Learn more: https://go.microsoft.com/fwlink/?linkid=870924_x000A__x000A_Comment:_x000A_    Control_x000A_</t>
        </r>
      </text>
    </comment>
    <comment ref="P10" authorId="1">
      <text>
        <r>
          <t xml:space="preserve">[Threaded comment]_x000A__x000A_Your version of Excel allows you to read this threaded comment; however, any edits to it will get removed if the file is opened in a newer version of Excel. Learn more: https://go.microsoft.com/fwlink/?linkid=870924_x000A__x000A_Comment:_x000A_    Control_x000A_</t>
        </r>
      </text>
    </comment>
    <comment ref="P15" authorId="2">
      <text>
        <r>
          <t xml:space="preserve">[Threaded comment]_x000A__x000A_Your version of Excel allows you to read this threaded comment; however, any edits to it will get removed if the file is opened in a newer version of Excel. Learn more: https://go.microsoft.com/fwlink/?linkid=870924_x000A__x000A_Comment:_x000A_    Control_x000A_</t>
        </r>
      </text>
    </comment>
  </commentList>
</comments>
</file>

<file path=xl/comments2.xml><?xml version="1.0" encoding="utf-8"?>
<comments xmlns="http://schemas.openxmlformats.org/spreadsheetml/2006/main">
  <authors>
    <author>tc={CADE0C93-7C6B-4A65-9638-5BC952EBAF60}</author>
    <author>tc={93627DF0-F0EC-4D87-801B-760854F3EFE9}</author>
  </authors>
  <commentList>
    <comment ref="Q7" authorId="0">
      <text>
        <r>
          <t xml:space="preserve">[Threaded comment]_x000A__x000A_Your version of Excel allows you to read this threaded comment; however, any edits to it will get removed if the file is opened in a newer version of Excel. Learn more: https://go.microsoft.com/fwlink/?linkid=870924_x000A__x000A_Comment:_x000A_    Control_x000A_</t>
        </r>
      </text>
    </comment>
    <comment ref="Q12" authorId="1">
      <text>
        <r>
          <t xml:space="preserve">[Threaded comment]_x000A__x000A_Your version of Excel allows you to read this threaded comment; however, any edits to it will get removed if the file is opened in a newer version of Excel. Learn more: https://go.microsoft.com/fwlink/?linkid=870924_x000A__x000A_Comment:_x000A_    Control_x000A_</t>
        </r>
      </text>
    </comment>
  </commentList>
</comments>
</file>

<file path=xl/sharedStrings.xml><?xml version="1.0" encoding="utf-8"?>
<sst xmlns="http://schemas.openxmlformats.org/spreadsheetml/2006/main">
  <si>
    <t>brought forward</t>
  </si>
  <si>
    <t>Total</t>
  </si>
  <si>
    <t>OLIVE</t>
  </si>
  <si>
    <t>Total Keys</t>
  </si>
  <si>
    <t>Total Properties</t>
  </si>
  <si>
    <t>Cumulative Properties</t>
  </si>
  <si>
    <t>Cumulative keys</t>
  </si>
  <si>
    <t>SPARK</t>
  </si>
  <si>
    <t>Cumulative</t>
  </si>
  <si>
    <t>OPEN</t>
  </si>
  <si>
    <t>Total properties</t>
  </si>
  <si>
    <t>Total keys</t>
  </si>
  <si>
    <t>April '26</t>
  </si>
  <si>
    <t>March '26</t>
  </si>
  <si>
    <t>Week 1</t>
  </si>
  <si>
    <t>Week 2</t>
  </si>
  <si>
    <t>Week 3</t>
  </si>
  <si>
    <t>Week 4</t>
  </si>
  <si>
    <t>Brands</t>
  </si>
  <si>
    <t>Open</t>
  </si>
  <si>
    <t>Olive</t>
  </si>
  <si>
    <t>Spark</t>
  </si>
  <si>
    <t>Portfolio Update:</t>
  </si>
  <si>
    <t>1. New Signings – Open Brand:</t>
  </si>
  <si>
    <t>Global Stays: 25 keys</t>
  </si>
  <si>
    <t>Xotel HSR Layout: 25 keys</t>
  </si>
  <si>
    <t>SS Heritage: 25 keys</t>
  </si>
  <si>
    <t>Diamond Park (Vizag): 20 keys</t>
  </si>
  <si>
    <t xml:space="preserve"> 2. Sadahalli, Bangalore: The property has been formally converted from the Olive brand to Spark.</t>
  </si>
  <si>
    <t>3. MA executed with Le Grande for the Spark property in Mumbai.</t>
  </si>
  <si>
    <t>Operational</t>
  </si>
  <si>
    <t>brought forwrad</t>
  </si>
  <si>
    <t>Cumulative Keys</t>
  </si>
  <si>
    <t>March'26</t>
  </si>
  <si>
    <t>-Properties</t>
  </si>
  <si>
    <t>-Keys</t>
  </si>
  <si>
    <t>April '26 WIP</t>
  </si>
  <si>
    <t>Handover date</t>
  </si>
  <si>
    <t>Go-live date</t>
  </si>
  <si>
    <t xml:space="preserve">Operational Properties – Open Brand:
</t>
  </si>
  <si>
    <t>Hulimavu, Bangalore</t>
  </si>
  <si>
    <t>Saturday, May 30th 2026</t>
  </si>
  <si>
    <t>15th June 2026</t>
  </si>
  <si>
    <t>1. Chamier's Park : 25 keys</t>
  </si>
  <si>
    <t>Calangute, Goa</t>
  </si>
  <si>
    <t>Monday, June 15th 2026</t>
  </si>
  <si>
    <t>30th June 2026</t>
  </si>
  <si>
    <t>2. The Botanica : 50 keys</t>
  </si>
  <si>
    <t>Nagarjuna/Marathahalli, Bangalore</t>
  </si>
  <si>
    <t>Friday, June 5th 2026</t>
  </si>
  <si>
    <t>20th June 2026</t>
  </si>
  <si>
    <t>3. Sea Heights : 24 keys</t>
  </si>
  <si>
    <t>Nagavara, Bangalore</t>
  </si>
  <si>
    <t>Thursday, April 30th 2026</t>
  </si>
  <si>
    <t>15th May 2026</t>
  </si>
  <si>
    <t>JP Nagar, Bangalore</t>
  </si>
  <si>
    <t>Monday, May 11th 2026</t>
  </si>
  <si>
    <t>26th May 2027</t>
  </si>
  <si>
    <t>Olive Yelahanka near BMSIT BLR</t>
  </si>
  <si>
    <t>Olive Sector 57 GUR</t>
  </si>
  <si>
    <t>Thursday, June 18th 2026</t>
  </si>
  <si>
    <t>3rd July 2026</t>
  </si>
  <si>
    <t>Vizag, AP</t>
  </si>
  <si>
    <t>Friday, May 15th 2026</t>
  </si>
  <si>
    <t>30th May 2026</t>
  </si>
  <si>
    <t>April'26 - same period
26 same period
'26 - same period</t>
  </si>
  <si>
    <t>Target</t>
  </si>
  <si>
    <t>Actuals</t>
  </si>
  <si>
    <t>Achievement</t>
  </si>
  <si>
    <t>Overall</t>
  </si>
  <si>
    <t>Online</t>
  </si>
  <si>
    <t>Offline</t>
  </si>
  <si>
    <t>April'26 - same period</t>
  </si>
  <si>
    <t>April 25</t>
  </si>
  <si>
    <t>April 26</t>
  </si>
  <si>
    <t>YoY - growth</t>
  </si>
  <si>
    <t>March'26 - same store - stable properties</t>
  </si>
  <si>
    <t>March 25</t>
  </si>
  <si>
    <t>March 26</t>
  </si>
  <si>
    <t>Revenue</t>
  </si>
  <si>
    <t>Cashflow - Summary</t>
  </si>
  <si>
    <t>Received</t>
  </si>
  <si>
    <t>To be collected</t>
  </si>
  <si>
    <t>Inflow</t>
  </si>
  <si>
    <t>W1</t>
  </si>
  <si>
    <t>W2</t>
  </si>
  <si>
    <t>W3</t>
  </si>
  <si>
    <t>W4</t>
  </si>
  <si>
    <t xml:space="preserve">Total </t>
  </si>
  <si>
    <t>TA fees</t>
  </si>
  <si>
    <t>Management fees</t>
  </si>
  <si>
    <t>Profit Incentive</t>
  </si>
  <si>
    <t>Outflow - expected for the rest of the month</t>
  </si>
  <si>
    <t>Current bank balance</t>
  </si>
  <si>
    <t>-Coliving Operations</t>
  </si>
  <si>
    <t>- Coliving</t>
  </si>
  <si>
    <t>-VARS</t>
  </si>
  <si>
    <t>Cash required (Expected outflow - current balance)</t>
  </si>
  <si>
    <t>Cashflow - Breakdown</t>
  </si>
  <si>
    <t>April</t>
  </si>
  <si>
    <t>Collections</t>
  </si>
  <si>
    <t>1. TA fees</t>
  </si>
  <si>
    <t>a) Spark</t>
  </si>
  <si>
    <t>Spark Ruby, Kolkata</t>
  </si>
  <si>
    <t>Bengaluru - Spark - Sheshadripuram</t>
  </si>
  <si>
    <t>Spark Junagad</t>
  </si>
  <si>
    <t>Spark Saddahalli ft Nandan</t>
  </si>
  <si>
    <t>Tirumala Bypass Road, Tirupati</t>
  </si>
  <si>
    <t>Andheri - Le Grande</t>
  </si>
  <si>
    <t>Spark Rajkot</t>
  </si>
  <si>
    <t>Chakan</t>
  </si>
  <si>
    <t>REIT</t>
  </si>
  <si>
    <t>Spark Vision Ventures - Tathawade</t>
  </si>
  <si>
    <t>b) Olive</t>
  </si>
  <si>
    <t>Olive Jayadeva Hospital</t>
  </si>
  <si>
    <t xml:space="preserve"> Banjaara Hills</t>
  </si>
  <si>
    <t>Olive Bharatpur</t>
  </si>
  <si>
    <t>Olive Kakkanad Info Park</t>
  </si>
  <si>
    <t>c) Open set-up fees</t>
  </si>
  <si>
    <t>Total TA fees</t>
  </si>
  <si>
    <t>2. Management fees</t>
  </si>
  <si>
    <t>3. Profit Incentive</t>
  </si>
  <si>
    <t>Total Inflow</t>
  </si>
  <si>
    <t>Dairy circle</t>
  </si>
  <si>
    <t>-Salaries</t>
  </si>
  <si>
    <t>hitech</t>
  </si>
  <si>
    <t>-Car EMI</t>
  </si>
  <si>
    <t>kundahalli</t>
  </si>
  <si>
    <t>-EE reimbursements</t>
  </si>
  <si>
    <t>vijawada</t>
  </si>
  <si>
    <t>-medical insurance</t>
  </si>
  <si>
    <t>Vasanth nagar</t>
  </si>
  <si>
    <t>-OPC</t>
  </si>
  <si>
    <t>-Hisca</t>
  </si>
  <si>
    <t>Rajaji nahar</t>
  </si>
  <si>
    <t>-Rent</t>
  </si>
  <si>
    <t>-Zoho</t>
  </si>
  <si>
    <t>Domlur</t>
  </si>
  <si>
    <t>Travel agency</t>
  </si>
  <si>
    <t>Meera - Goa</t>
  </si>
  <si>
    <t>-Kingshuk</t>
  </si>
  <si>
    <t>Indiranagar</t>
  </si>
  <si>
    <t>Nivasa</t>
  </si>
</sst>
</file>

<file path=xl/styles.xml><?xml version="1.0" encoding="utf-8"?>
<styleSheet xmlns="http://schemas.openxmlformats.org/spreadsheetml/2006/main">
  <numFmts count="3">
    <numFmt numFmtId="164" formatCode="_ * #,##0_ ;_ * -#,##0_ ;_ * &quot;-&quot;??_ ;_ @_ "/>
    <numFmt numFmtId="165" formatCode="_(* #,##0_);_(* (#,##0);_(* &quot;-&quot;??_);_(@_)"/>
    <numFmt numFmtId="166" formatCode="_ * #,##0.00_ ;_ * -#,##0.00_ ;_ * &quot;-&quot;??_ ;_ @_ "/>
  </numFmts>
  <fonts count="20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b/>
      <sz val="12"/>
      <color rgb="FF000000"/>
      <name val="Inherit"/>
    </font>
    <font>
      <sz val="12"/>
      <color rgb="FF000000"/>
      <name val="Aptos"/>
    </font>
    <font>
      <sz val="8"/>
      <color rgb="FF0F1115"/>
      <name val="Segoe UI"/>
    </font>
    <font>
      <sz val="22"/>
      <color theme="1"/>
      <name val="Aptos Narrow"/>
      <scheme val="minor"/>
    </font>
    <font>
      <sz val="11"/>
      <color rgb="FF000000"/>
      <name val="Aptos Narrow"/>
    </font>
    <font>
      <sz val="12"/>
      <color rgb="FF242424"/>
      <name val="Aptos"/>
    </font>
    <font>
      <b/>
      <sz val="16"/>
      <color indexed="9"/>
      <name val="Aptos Narrow"/>
      <scheme val="minor"/>
    </font>
    <font>
      <b/>
      <i/>
      <sz val="16"/>
      <color indexed="9"/>
      <name val="Aptos Narrow"/>
      <scheme val="minor"/>
    </font>
    <font>
      <b/>
      <sz val="12"/>
      <color indexed="9"/>
      <name val="Aptos Narrow"/>
      <scheme val="minor"/>
    </font>
    <font>
      <b/>
      <i/>
      <sz val="14"/>
      <color indexed="9"/>
      <name val="Aptos Narrow"/>
      <scheme val="minor"/>
    </font>
    <font>
      <b/>
      <sz val="11"/>
      <color indexed="8"/>
      <name val="Aptos Narrow"/>
      <scheme val="minor"/>
    </font>
    <font>
      <sz val="11"/>
      <color indexed="18"/>
      <name val="Aptos Narrow"/>
      <scheme val="minor"/>
    </font>
    <font>
      <b/>
      <i/>
      <sz val="10"/>
      <color indexed="9"/>
      <name val="Aptos Narrow"/>
      <scheme val="minor"/>
    </font>
    <font>
      <sz val="11"/>
      <color indexed="8"/>
      <name val="Aptos Narrow"/>
      <scheme val="minor"/>
    </font>
    <font>
      <sz val="11"/>
      <color rgb="FF000000"/>
      <name val="Aptos Narrow"/>
      <scheme val="minor"/>
    </font>
    <font>
      <sz val="11"/>
      <color theme="1"/>
      <name val="Aptos Narrow"/>
    </font>
    <font>
      <sz val="11"/>
      <color rgb="FF000000"/>
      <name val="gopher"/>
    </font>
    <font>
      <b/>
      <sz val="11"/>
      <color theme="1"/>
      <name val="Aptos Narrow"/>
    </font>
  </fonts>
  <fills count="15">
    <fill>
      <patternFill patternType="none"/>
    </fill>
    <fill>
      <patternFill patternType="gray125"/>
    </fill>
    <fill>
      <patternFill patternType="solid">
        <fgColor theme="6" tint="0.599993896298105"/>
        <bgColor indexed="64"/>
      </patternFill>
    </fill>
    <fill>
      <patternFill patternType="solid">
        <fgColor theme="3" tint="0.89999084444715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8"/>
        <bgColor indexed="24"/>
      </patternFill>
    </fill>
    <fill>
      <patternFill patternType="solid">
        <fgColor indexed="9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theme="4" tint="0.799981688894314"/>
      </patternFill>
    </fill>
  </fills>
  <borders count="35">
    <border/>
    <border>
      <left style="thin">
        <color indexed="64"/>
      </left>
      <right style="thin">
        <color indexed="64"/>
      </right>
      <bottom style="thin">
        <color indexed="64"/>
      </bottom>
    </border>
    <border>
      <left style="thin">
        <color indexed="64"/>
      </lef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medium">
        <color indexed="64"/>
      </left>
      <top style="medium">
        <color indexed="64"/>
      </top>
      <bottom style="thin">
        <color rgb="FF000000"/>
      </bottom>
    </border>
    <border>
      <top style="medium">
        <color indexed="64"/>
      </top>
      <bottom style="thin">
        <color rgb="FF000000"/>
      </bottom>
    </border>
    <border>
      <right style="medium">
        <color indexed="64"/>
      </right>
      <top style="medium">
        <color indexed="64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medium">
        <color indexed="64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indexed="64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indexed="64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indexed="64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</border>
    <border>
      <bottom style="medium">
        <color indexed="64"/>
      </bottom>
    </border>
    <border>
      <left style="medium">
        <color indexed="64"/>
      </left>
      <right style="thin">
        <color rgb="FF000000"/>
      </right>
      <top style="medium">
        <color indexed="64"/>
      </top>
    </border>
    <border>
      <left style="thin">
        <color rgb="FF000000"/>
      </left>
      <right style="thin">
        <color rgb="FF000000"/>
      </right>
      <top style="medium">
        <color indexed="64"/>
      </top>
    </border>
    <border>
      <left style="thin">
        <color rgb="FF000000"/>
      </left>
      <right style="medium">
        <color indexed="64"/>
      </right>
      <top style="medium">
        <color indexed="64"/>
      </top>
    </border>
    <border>
      <right style="medium">
        <color indexed="64"/>
      </right>
    </border>
    <border>
      <left style="medium">
        <color indexed="64"/>
      </left>
    </border>
    <border>
      <left style="medium">
        <color indexed="64"/>
      </left>
      <bottom style="medium">
        <color indexed="64"/>
      </bottom>
    </border>
    <border>
      <right style="medium">
        <color indexed="64"/>
      </right>
      <bottom style="medium">
        <color indexed="64"/>
      </bottom>
    </border>
    <border>
      <left style="medium">
        <color indexed="64"/>
      </left>
      <top style="medium">
        <color indexed="64"/>
      </top>
    </border>
    <border>
      <top style="medium">
        <color indexed="64"/>
      </top>
    </border>
    <border>
      <right style="medium">
        <color indexed="64"/>
      </right>
      <top style="medium">
        <color indexed="64"/>
      </top>
    </border>
    <border>
      <left style="thin">
        <color indexed="64"/>
      </left>
      <right style="thin">
        <color indexed="64"/>
      </right>
    </border>
    <border>
      <left style="medium">
        <color indexed="64"/>
      </left>
      <right style="medium">
        <color indexed="64"/>
      </right>
      <top style="medium">
        <color indexed="64"/>
      </top>
    </border>
    <border>
      <left style="medium">
        <color indexed="64"/>
      </left>
      <top style="medium">
        <color indexed="64"/>
      </top>
      <bottom style="medium">
        <color indexed="64"/>
      </bottom>
    </border>
    <border>
      <top style="medium">
        <color indexed="64"/>
      </top>
      <bottom style="medium">
        <color indexed="64"/>
      </bottom>
    </border>
    <border>
      <left style="medium">
        <color indexed="64"/>
      </left>
      <right style="medium">
        <color indexed="64"/>
      </right>
      <bottom style="medium">
        <color indexed="64"/>
      </bottom>
    </border>
  </borders>
  <cellStyleXfs count="3">
    <xf numFmtId="0" fontId="0" fillId="0" borderId="0"/>
    <xf numFmtId="166" fontId="0" fillId="0" borderId="0" applyFont="0" applyFill="0" applyBorder="0" applyAlignment="0" applyProtection="0"/>
    <xf numFmtId="9" fontId="0" fillId="0" borderId="0" applyFont="0" applyFill="0" applyBorder="0" applyAlignment="0" applyProtection="0"/>
  </cellStyleXfs>
  <cellXfs count="127">
    <xf numFmtId="0" fontId="0" fillId="0" borderId="0" xfId="0"/>
    <xf numFmtId="164" fontId="0" fillId="0" borderId="0" xfId="1" applyNumberFormat="1" applyFont="1"/>
    <xf numFmtId="17" fontId="1" fillId="2" borderId="1" xfId="0" applyNumberFormat="1" applyFont="1" applyFill="1" applyBorder="1" applyAlignment="1">
      <alignment horizontal="center"/>
    </xf>
    <xf numFmtId="17" fontId="1" fillId="3" borderId="1" xfId="0" applyNumberFormat="1" applyFont="1" applyFill="1" applyBorder="1" applyAlignment="1">
      <alignment horizontal="center"/>
    </xf>
    <xf numFmtId="0" fontId="1" fillId="4" borderId="2" xfId="0" applyFont="1" applyFill="1" applyBorder="1"/>
    <xf numFmtId="0" fontId="1" fillId="2" borderId="0" xfId="0" applyFont="1" applyFill="1"/>
    <xf numFmtId="0" fontId="1" fillId="5" borderId="3" xfId="0" applyFont="1" applyFill="1" applyBorder="1"/>
    <xf numFmtId="0" fontId="1" fillId="2" borderId="3" xfId="0" applyFont="1" applyFill="1" applyBorder="1"/>
    <xf numFmtId="0" fontId="1" fillId="5" borderId="3" xfId="0" applyFont="1" applyFill="1" applyBorder="1" applyAlignment="1">
      <alignment horizontal="center"/>
    </xf>
    <xf numFmtId="0" fontId="0" fillId="6" borderId="0" xfId="0" applyFill="1"/>
    <xf numFmtId="0" fontId="0" fillId="2" borderId="0" xfId="0" applyFill="1"/>
    <xf numFmtId="0" fontId="1" fillId="6" borderId="3" xfId="0" applyFont="1" applyFill="1" applyBorder="1" applyAlignment="1">
      <alignment horizontal="center"/>
    </xf>
    <xf numFmtId="0" fontId="1" fillId="4" borderId="3" xfId="0" applyFont="1" applyFill="1" applyBorder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7" borderId="7" xfId="0" applyFill="1" applyBorder="1" applyAlignment="1">
      <alignment vertical="center"/>
    </xf>
    <xf numFmtId="0" fontId="2" fillId="7" borderId="8" xfId="0" applyFont="1" applyFill="1" applyBorder="1" applyAlignment="1">
      <alignment vertical="center"/>
    </xf>
    <xf numFmtId="0" fontId="2" fillId="7" borderId="9" xfId="0" applyFont="1" applyFill="1" applyBorder="1" applyAlignment="1">
      <alignment vertical="center"/>
    </xf>
    <xf numFmtId="0" fontId="2" fillId="7" borderId="7" xfId="0" applyFont="1" applyFill="1" applyBorder="1" applyAlignment="1">
      <alignment vertical="center"/>
    </xf>
    <xf numFmtId="0" fontId="2" fillId="7" borderId="10" xfId="0" applyFont="1" applyFill="1" applyBorder="1" applyAlignment="1">
      <alignment vertical="center"/>
    </xf>
    <xf numFmtId="0" fontId="2" fillId="7" borderId="11" xfId="0" applyFont="1" applyFill="1" applyBorder="1" applyAlignment="1">
      <alignment vertical="center"/>
    </xf>
    <xf numFmtId="0" fontId="2" fillId="7" borderId="12" xfId="0" applyFont="1" applyFill="1" applyBorder="1" applyAlignment="1">
      <alignment vertical="center"/>
    </xf>
    <xf numFmtId="0" fontId="2" fillId="7" borderId="13" xfId="0" applyFont="1" applyFill="1" applyBorder="1" applyAlignment="1">
      <alignment vertical="center"/>
    </xf>
    <xf numFmtId="0" fontId="2" fillId="7" borderId="14" xfId="0" applyFont="1" applyFill="1" applyBorder="1" applyAlignment="1">
      <alignment vertical="center"/>
    </xf>
    <xf numFmtId="0" fontId="2" fillId="7" borderId="15" xfId="0" applyFont="1" applyFill="1" applyBorder="1" applyAlignment="1">
      <alignment vertical="center"/>
    </xf>
    <xf numFmtId="0" fontId="3" fillId="7" borderId="16" xfId="0" applyFont="1" applyFill="1" applyBorder="1" applyAlignment="1">
      <alignment horizontal="right" vertical="center"/>
    </xf>
    <xf numFmtId="0" fontId="3" fillId="7" borderId="17" xfId="0" applyFont="1" applyFill="1" applyBorder="1" applyAlignment="1">
      <alignment horizontal="right" vertical="center"/>
    </xf>
    <xf numFmtId="0" fontId="3" fillId="7" borderId="18" xfId="0" applyFont="1" applyFill="1" applyBorder="1" applyAlignment="1">
      <alignment horizontal="right"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 wrapText="1" indent="1"/>
    </xf>
    <xf numFmtId="0" fontId="4" fillId="0" borderId="0" xfId="0" applyFont="1"/>
    <xf numFmtId="0" fontId="5" fillId="0" borderId="0" xfId="0" applyFont="1"/>
    <xf numFmtId="0" fontId="1" fillId="4" borderId="0" xfId="0" applyFont="1" applyFill="1"/>
    <xf numFmtId="164" fontId="0" fillId="6" borderId="0" xfId="1" applyNumberFormat="1" applyFont="1" applyFill="1"/>
    <xf numFmtId="164" fontId="1" fillId="5" borderId="0" xfId="1" applyNumberFormat="1" applyFont="1" applyFill="1" applyBorder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19" xfId="0" applyBorder="1" applyAlignment="1">
      <alignment horizontal="center"/>
    </xf>
    <xf numFmtId="0" fontId="0" fillId="7" borderId="20" xfId="0" applyFill="1" applyBorder="1" applyAlignment="1">
      <alignment vertical="center"/>
    </xf>
    <xf numFmtId="0" fontId="2" fillId="7" borderId="21" xfId="0" applyFont="1" applyFill="1" applyBorder="1" applyAlignment="1">
      <alignment vertical="center"/>
    </xf>
    <xf numFmtId="0" fontId="2" fillId="7" borderId="22" xfId="0" applyFont="1" applyFill="1" applyBorder="1" applyAlignment="1">
      <alignment vertical="center"/>
    </xf>
    <xf numFmtId="0" fontId="2" fillId="7" borderId="17" xfId="0" applyFont="1" applyFill="1" applyBorder="1" applyAlignment="1">
      <alignment vertical="center"/>
    </xf>
    <xf numFmtId="0" fontId="0" fillId="0" borderId="23" xfId="0" applyBorder="1"/>
    <xf numFmtId="0" fontId="0" fillId="0" borderId="24" xfId="0" quotePrefix="1" applyBorder="1"/>
    <xf numFmtId="0" fontId="3" fillId="7" borderId="15" xfId="0" applyFont="1" applyFill="1" applyBorder="1" applyAlignment="1">
      <alignment horizontal="right" vertical="center"/>
    </xf>
    <xf numFmtId="0" fontId="0" fillId="8" borderId="0" xfId="0" applyFill="1"/>
    <xf numFmtId="0" fontId="0" fillId="0" borderId="24" xfId="0" applyBorder="1"/>
    <xf numFmtId="0" fontId="0" fillId="0" borderId="25" xfId="0" quotePrefix="1" applyBorder="1"/>
    <xf numFmtId="0" fontId="0" fillId="0" borderId="19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0" xfId="0" applyAlignment="1">
      <alignment wrapText="1"/>
    </xf>
    <xf numFmtId="0" fontId="6" fillId="7" borderId="24" xfId="0" applyFont="1" applyFill="1" applyBorder="1" applyAlignment="1">
      <alignment vertical="center" wrapText="1"/>
    </xf>
    <xf numFmtId="0" fontId="6" fillId="7" borderId="0" xfId="0" applyFont="1" applyFill="1" applyBorder="1" applyAlignment="1">
      <alignment vertical="center" wrapText="1"/>
    </xf>
    <xf numFmtId="0" fontId="0" fillId="0" borderId="30" xfId="0" applyBorder="1"/>
    <xf numFmtId="0" fontId="0" fillId="0" borderId="23" xfId="0" applyFill="1" applyBorder="1"/>
    <xf numFmtId="0" fontId="6" fillId="7" borderId="25" xfId="0" applyFont="1" applyFill="1" applyBorder="1" applyAlignment="1">
      <alignment vertical="center" wrapText="1"/>
    </xf>
    <xf numFmtId="0" fontId="6" fillId="7" borderId="19" xfId="0" applyFont="1" applyFill="1" applyBorder="1" applyAlignment="1">
      <alignment vertical="center" wrapText="1"/>
    </xf>
    <xf numFmtId="0" fontId="0" fillId="0" borderId="26" xfId="0" applyFill="1" applyBorder="1"/>
    <xf numFmtId="0" fontId="6" fillId="7" borderId="0" xfId="0" applyFont="1" applyFill="1" applyAlignment="1">
      <alignment vertical="center" wrapText="1"/>
    </xf>
    <xf numFmtId="0" fontId="7" fillId="0" borderId="0" xfId="0" applyFont="1" applyAlignment="1">
      <alignment vertical="center" wrapText="1"/>
    </xf>
    <xf numFmtId="164" fontId="0" fillId="0" borderId="0" xfId="1" applyNumberFormat="1" applyFont="1" applyAlignment="1">
      <alignment horizontal="center" wrapText="1"/>
    </xf>
    <xf numFmtId="164" fontId="0" fillId="0" borderId="0" xfId="1" applyNumberFormat="1" applyFont="1" applyAlignment="1">
      <alignment horizontal="center"/>
    </xf>
    <xf numFmtId="17" fontId="0" fillId="0" borderId="0" xfId="0" applyNumberFormat="1"/>
    <xf numFmtId="164" fontId="0" fillId="0" borderId="0" xfId="1" applyNumberFormat="1" applyFont="1" applyFill="1"/>
    <xf numFmtId="9" fontId="0" fillId="0" borderId="0" xfId="2" applyFont="1"/>
    <xf numFmtId="3" fontId="0" fillId="0" borderId="0" xfId="0" applyNumberFormat="1"/>
    <xf numFmtId="9" fontId="0" fillId="0" borderId="0" xfId="2" applyFont="1" applyFill="1"/>
    <xf numFmtId="164" fontId="0" fillId="0" borderId="0" xfId="0" applyNumberFormat="1"/>
    <xf numFmtId="164" fontId="0" fillId="0" borderId="0" xfId="1" applyNumberFormat="1" applyFont="1" applyFill="1" applyAlignment="1">
      <alignment horizontal="center"/>
    </xf>
    <xf numFmtId="164" fontId="0" fillId="0" borderId="0" xfId="1" quotePrefix="1" applyNumberFormat="1" applyFont="1" applyFill="1"/>
    <xf numFmtId="17" fontId="0" fillId="0" borderId="0" xfId="0" quotePrefix="1" applyNumberFormat="1"/>
    <xf numFmtId="164" fontId="0" fillId="0" borderId="0" xfId="1" quotePrefix="1" applyNumberFormat="1" applyFont="1"/>
    <xf numFmtId="164" fontId="0" fillId="8" borderId="0" xfId="1" applyNumberFormat="1" applyFont="1" applyFill="1"/>
    <xf numFmtId="3" fontId="1" fillId="8" borderId="0" xfId="0" applyNumberFormat="1" applyFont="1" applyFill="1" applyAlignment="1">
      <alignment horizontal="center"/>
    </xf>
    <xf numFmtId="0" fontId="8" fillId="9" borderId="31" xfId="0" applyFont="1" applyFill="1" applyBorder="1" applyAlignment="1">
      <alignment horizontal="centerContinuous"/>
    </xf>
    <xf numFmtId="164" fontId="9" fillId="9" borderId="32" xfId="1" applyNumberFormat="1" applyFont="1" applyFill="1" applyBorder="1" applyAlignment="1">
      <alignment horizontal="centerContinuous"/>
    </xf>
    <xf numFmtId="0" fontId="9" fillId="9" borderId="33" xfId="0" applyFont="1" applyFill="1" applyBorder="1" applyAlignment="1">
      <alignment horizontal="centerContinuous"/>
    </xf>
    <xf numFmtId="0" fontId="10" fillId="9" borderId="34" xfId="0" applyFont="1" applyFill="1" applyBorder="1" applyAlignment="1">
      <alignment horizontal="left"/>
    </xf>
    <xf numFmtId="164" fontId="11" fillId="9" borderId="32" xfId="1" applyNumberFormat="1" applyFont="1" applyFill="1" applyBorder="1" applyAlignment="1">
      <alignment horizontal="center"/>
    </xf>
    <xf numFmtId="164" fontId="11" fillId="9" borderId="33" xfId="1" applyNumberFormat="1" applyFont="1" applyFill="1" applyBorder="1" applyAlignment="1">
      <alignment horizontal="center"/>
    </xf>
    <xf numFmtId="0" fontId="12" fillId="10" borderId="32" xfId="0" applyFont="1" applyFill="1" applyBorder="1" applyAlignment="1">
      <alignment horizontal="left"/>
    </xf>
    <xf numFmtId="164" fontId="13" fillId="10" borderId="33" xfId="1" applyNumberFormat="1" applyFont="1" applyFill="1" applyBorder="1" applyAlignment="1"/>
    <xf numFmtId="0" fontId="13" fillId="10" borderId="33" xfId="0" applyFont="1" applyFill="1" applyBorder="1"/>
    <xf numFmtId="164" fontId="14" fillId="9" borderId="33" xfId="1" applyNumberFormat="1" applyFont="1" applyFill="1" applyBorder="1" applyAlignment="1">
      <alignment horizontal="right"/>
    </xf>
    <xf numFmtId="0" fontId="14" fillId="9" borderId="0" xfId="0" applyFont="1" applyFill="1" applyAlignment="1">
      <alignment horizontal="center"/>
    </xf>
    <xf numFmtId="164" fontId="14" fillId="9" borderId="33" xfId="1" applyNumberFormat="1" applyFont="1" applyFill="1" applyBorder="1" applyAlignment="1">
      <alignment horizontal="right" wrapText="1"/>
    </xf>
    <xf numFmtId="0" fontId="10" fillId="9" borderId="32" xfId="0" applyFont="1" applyFill="1" applyBorder="1" applyAlignment="1">
      <alignment horizontal="left"/>
    </xf>
    <xf numFmtId="164" fontId="13" fillId="11" borderId="0" xfId="1" applyNumberFormat="1" applyFont="1" applyFill="1" applyBorder="1" applyAlignment="1"/>
    <xf numFmtId="0" fontId="13" fillId="11" borderId="0" xfId="0" applyFont="1" applyFill="1"/>
    <xf numFmtId="0" fontId="12" fillId="11" borderId="24" xfId="0" applyFont="1" applyFill="1" applyBorder="1" applyAlignment="1">
      <alignment horizontal="left"/>
    </xf>
    <xf numFmtId="3" fontId="13" fillId="11" borderId="0" xfId="0" applyNumberFormat="1" applyFont="1" applyFill="1" applyAlignment="1">
      <alignment vertical="center"/>
    </xf>
    <xf numFmtId="3" fontId="13" fillId="11" borderId="0" xfId="0" applyNumberFormat="1" applyFont="1" applyFill="1"/>
    <xf numFmtId="0" fontId="15" fillId="11" borderId="24" xfId="0" applyFont="1" applyFill="1" applyBorder="1" applyAlignment="1">
      <alignment horizontal="left"/>
    </xf>
    <xf numFmtId="165" fontId="0" fillId="0" borderId="0" xfId="0" applyNumberFormat="1"/>
    <xf numFmtId="0" fontId="12" fillId="10" borderId="32" xfId="0" quotePrefix="1" applyFont="1" applyFill="1" applyBorder="1" applyAlignment="1">
      <alignment horizontal="left"/>
    </xf>
    <xf numFmtId="165" fontId="13" fillId="0" borderId="33" xfId="1" applyNumberFormat="1" applyFont="1" applyFill="1" applyBorder="1" applyAlignment="1"/>
    <xf numFmtId="164" fontId="13" fillId="0" borderId="33" xfId="1" applyNumberFormat="1" applyFont="1" applyFill="1" applyBorder="1" applyAlignment="1"/>
    <xf numFmtId="0" fontId="12" fillId="11" borderId="0" xfId="0" applyFont="1" applyFill="1" applyAlignment="1">
      <alignment horizontal="left"/>
    </xf>
    <xf numFmtId="164" fontId="9" fillId="9" borderId="33" xfId="1" applyNumberFormat="1" applyFont="1" applyFill="1" applyBorder="1" applyAlignment="1">
      <alignment horizontal="centerContinuous"/>
    </xf>
    <xf numFmtId="0" fontId="14" fillId="9" borderId="33" xfId="0" applyFont="1" applyFill="1" applyBorder="1" applyAlignment="1">
      <alignment horizontal="center"/>
    </xf>
    <xf numFmtId="0" fontId="10" fillId="9" borderId="27" xfId="0" applyFont="1" applyFill="1" applyBorder="1" applyAlignment="1">
      <alignment horizontal="left"/>
    </xf>
    <xf numFmtId="164" fontId="14" fillId="9" borderId="28" xfId="1" applyNumberFormat="1" applyFont="1" applyFill="1" applyBorder="1" applyAlignment="1">
      <alignment horizontal="right"/>
    </xf>
    <xf numFmtId="0" fontId="14" fillId="9" borderId="28" xfId="0" applyFont="1" applyFill="1" applyBorder="1" applyAlignment="1">
      <alignment horizontal="right"/>
    </xf>
    <xf numFmtId="0" fontId="14" fillId="9" borderId="29" xfId="0" applyFont="1" applyFill="1" applyBorder="1" applyAlignment="1">
      <alignment horizontal="center" wrapText="1"/>
    </xf>
    <xf numFmtId="0" fontId="12" fillId="0" borderId="15" xfId="0" applyFont="1" applyBorder="1" applyAlignment="1">
      <alignment horizontal="left"/>
    </xf>
    <xf numFmtId="164" fontId="13" fillId="0" borderId="15" xfId="1" applyNumberFormat="1" applyFont="1" applyFill="1" applyBorder="1" applyAlignment="1"/>
    <xf numFmtId="3" fontId="13" fillId="0" borderId="15" xfId="0" applyNumberFormat="1" applyFont="1" applyBorder="1" applyAlignment="1">
      <alignment vertical="center"/>
    </xf>
    <xf numFmtId="3" fontId="16" fillId="0" borderId="15" xfId="0" applyNumberFormat="1" applyFont="1" applyBorder="1" applyAlignment="1">
      <alignment vertical="center"/>
    </xf>
    <xf numFmtId="164" fontId="17" fillId="12" borderId="15" xfId="1" applyNumberFormat="1" applyFont="1" applyFill="1" applyBorder="1" applyAlignment="1">
      <alignment vertical="center"/>
    </xf>
    <xf numFmtId="3" fontId="18" fillId="0" borderId="15" xfId="0" applyNumberFormat="1" applyFont="1" applyBorder="1" applyAlignment="1">
      <alignment horizontal="right"/>
    </xf>
    <xf numFmtId="3" fontId="16" fillId="13" borderId="15" xfId="0" applyNumberFormat="1" applyFont="1" applyFill="1" applyBorder="1" applyAlignment="1">
      <alignment vertical="center"/>
    </xf>
    <xf numFmtId="0" fontId="0" fillId="0" borderId="15" xfId="0" applyBorder="1"/>
    <xf numFmtId="164" fontId="17" fillId="0" borderId="15" xfId="1" applyNumberFormat="1" applyFont="1" applyFill="1" applyBorder="1" applyAlignment="1">
      <alignment vertical="center"/>
    </xf>
    <xf numFmtId="3" fontId="18" fillId="0" borderId="15" xfId="0" applyNumberFormat="1" applyFont="1" applyBorder="1" applyAlignment="1">
      <alignment horizontal="center"/>
    </xf>
    <xf numFmtId="0" fontId="12" fillId="13" borderId="15" xfId="0" applyFont="1" applyFill="1" applyBorder="1" applyAlignment="1">
      <alignment horizontal="left"/>
    </xf>
    <xf numFmtId="0" fontId="12" fillId="0" borderId="24" xfId="0" applyFont="1" applyBorder="1" applyAlignment="1">
      <alignment horizontal="left"/>
    </xf>
    <xf numFmtId="164" fontId="0" fillId="0" borderId="30" xfId="1" applyNumberFormat="1" applyFont="1" applyFill="1" applyBorder="1" applyAlignment="1">
      <alignment vertical="center"/>
    </xf>
    <xf numFmtId="164" fontId="0" fillId="0" borderId="0" xfId="1" applyNumberFormat="1" applyFont="1" applyFill="1" applyBorder="1" applyAlignment="1">
      <alignment vertical="center"/>
    </xf>
    <xf numFmtId="164" fontId="19" fillId="0" borderId="0" xfId="0" applyNumberFormat="1" applyFont="1" applyAlignment="1">
      <alignment horizontal="left"/>
    </xf>
    <xf numFmtId="164" fontId="19" fillId="14" borderId="0" xfId="0" applyNumberFormat="1" applyFont="1" applyFill="1" applyAlignment="1">
      <alignment horizontal="left"/>
    </xf>
    <xf numFmtId="0" fontId="12" fillId="0" borderId="0" xfId="0" applyFont="1" applyAlignment="1">
      <alignment horizontal="left"/>
    </xf>
    <xf numFmtId="164" fontId="13" fillId="0" borderId="0" xfId="1" applyNumberFormat="1" applyFont="1" applyFill="1" applyBorder="1" applyAlignment="1"/>
    <xf numFmtId="0" fontId="15" fillId="11" borderId="24" xfId="0" quotePrefix="1" applyFont="1" applyFill="1" applyBorder="1" applyAlignment="1">
      <alignment horizontal="left"/>
    </xf>
    <xf numFmtId="0" fontId="15" fillId="11" borderId="0" xfId="0" quotePrefix="1" applyFont="1" applyFill="1" applyAlignment="1">
      <alignment horizontal="left"/>
    </xf>
  </cellXfs>
  <cellStyles count="3">
    <cellStyle name="Normal" xfId="0" builtinId="0"/>
    <cellStyle name="Comma" xfId="1" builtinId="3"/>
    <cellStyle name="Percent" xfId="2" builtinId="5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styles" Target="styles.xml" /><Relationship Id="rId8" Type="http://schemas.openxmlformats.org/officeDocument/2006/relationships/theme" Target="theme/theme1.xml" /><Relationship Id="rId9" Type="http://schemas.openxmlformats.org/officeDocument/2006/relationships/calcChain" Target="calcChain.xml" /><Relationship Id="rId10" Type="http://schemas.openxmlformats.org/officeDocument/2006/relationships/sharedStrings" Target="sharedStrings.xml" /><Relationship Id="rId11" Type="http://schemas.microsoft.com/office/2017/10/relationships/person" Target="persons/person.xml" /></Relationships>
</file>

<file path=xl/persons/person.xml><?xml version="1.0" encoding="utf-8"?>
<personList xmlns="http://schemas.microsoft.com/office/spreadsheetml/2018/threadedcomments">
  <person displayName="Nazim Sait Arif" id="{2D775E0F-25EB-4869-B64A-5FF516290769}" userId="S::nazim.sait@oliveliving.com::8bdf6898-07fe-4741-95e8-1b9e13214e24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threadedComments/threadedComment1.xml><?xml version="1.0" encoding="utf-8"?>
<ThreadedComments xmlns="http://schemas.microsoft.com/office/spreadsheetml/2018/threadedcomments">
  <threadedComment ref="P5" dT="2026-03-27T10:53:37.60" personId="{2D775E0F-25EB-4869-B64A-5FF516290769}" id="{4E6556D2-0A2F-4971-8F63-C779A68B9485}">
    <text>Control_x000A_</text>
  </threadedComment>
  <threadedComment ref="P10" dT="2026-03-27T10:53:37.60" personId="{2D775E0F-25EB-4869-B64A-5FF516290769}" id="{9CFB65C3-A491-4F49-9291-182949A32499}">
    <text>Control_x000A_</text>
  </threadedComment>
  <threadedComment ref="P15" dT="2026-03-27T10:53:37.60" personId="{2D775E0F-25EB-4869-B64A-5FF516290769}" id="{DF95D489-8FF7-426F-A630-91F27E5573F7}">
    <text>Control_x000A_</text>
  </threadedComment>
</ThreadedComments>
</file>

<file path=xl/threadedComments/threadedComment2.xml><?xml version="1.0" encoding="utf-8"?>
<ThreadedComments xmlns="http://schemas.microsoft.com/office/spreadsheetml/2018/threadedcomments">
  <threadedComment ref="Q7" dT="2026-03-27T10:53:37.60" personId="{2D775E0F-25EB-4869-B64A-5FF516290769}" id="{CADE0C93-7C6B-4A65-9638-5BC952EBAF60}">
    <text>Control_x000A_</text>
  </threadedComment>
  <threadedComment ref="Q12" dT="2026-03-27T10:53:37.60" personId="{2D775E0F-25EB-4869-B64A-5FF516290769}" id="{93627DF0-F0EC-4D87-801B-760854F3EFE9}">
    <text>Control_x000A_</text>
  </threadedComment>
</ThreadedComments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1.xml" /><Relationship Id="rId3" Type="http://schemas.microsoft.com/office/2017/10/relationships/threadedComment" Target="../threadedComments/threadedComment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2.xml" /><Relationship Id="rId3" Type="http://schemas.microsoft.com/office/2017/10/relationships/threadedComment" Target="../threadedComments/threadedComment2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 topLeftCell="A10">
      <selection activeCell="P18" sqref="P18"/>
    </sheetView>
  </sheetViews>
  <sheetFormatPr defaultRowHeight="14.25"/>
  <cols>
    <col min="1" max="1" width="18.875" bestFit="1" customWidth="1"/>
    <col min="2" max="2" width="14.125" bestFit="1" customWidth="1"/>
  </cols>
  <sheetData>
    <row r="1" ht="15">
      <c r="B1" s="2" t="s">
        <v>0</v>
      </c>
      <c r="C1" s="3">
        <v>45748</v>
      </c>
      <c r="D1" s="3">
        <f>EOMONTH(C1,1)</f>
        <v>45808</v>
      </c>
      <c r="E1" s="3">
        <f t="shared" ref="E1:O1" si="0">EOMONTH(D1,1)</f>
        <v>45838</v>
      </c>
      <c r="F1" s="3">
        <f t="shared" si="0"/>
        <v>45869</v>
      </c>
      <c r="G1" s="3">
        <f t="shared" si="0"/>
        <v>45900</v>
      </c>
      <c r="H1" s="3">
        <f t="shared" si="0"/>
        <v>45930</v>
      </c>
      <c r="I1" s="3">
        <f t="shared" si="0"/>
        <v>45961</v>
      </c>
      <c r="J1" s="3">
        <f t="shared" si="0"/>
        <v>45991</v>
      </c>
      <c r="K1" s="3">
        <f t="shared" si="0"/>
        <v>46022</v>
      </c>
      <c r="L1" s="3">
        <f t="shared" si="0"/>
        <v>46053</v>
      </c>
      <c r="M1" s="3">
        <f t="shared" si="0"/>
        <v>46081</v>
      </c>
      <c r="N1" s="3">
        <f t="shared" si="0"/>
        <v>46112</v>
      </c>
      <c r="O1" s="3">
        <f t="shared" si="0"/>
        <v>46142</v>
      </c>
      <c r="P1" s="3" t="s">
        <v>1</v>
      </c>
    </row>
    <row r="2" ht="15">
      <c r="A2" s="4" t="s">
        <v>2</v>
      </c>
      <c r="B2" s="5"/>
    </row>
    <row r="3" ht="15">
      <c r="A3" s="6" t="s">
        <v>3</v>
      </c>
      <c r="B3" s="7">
        <v>2389</v>
      </c>
      <c r="C3">
        <v>43</v>
      </c>
      <c r="D3">
        <v>92</v>
      </c>
      <c r="E3">
        <v>27</v>
      </c>
      <c r="F3">
        <v>110</v>
      </c>
      <c r="G3">
        <v>42</v>
      </c>
      <c r="H3">
        <v>30</v>
      </c>
      <c r="I3">
        <v>45</v>
      </c>
      <c r="J3">
        <v>90</v>
      </c>
      <c r="K3">
        <v>60</v>
      </c>
      <c r="L3">
        <v>61</v>
      </c>
      <c r="M3">
        <v>135</v>
      </c>
      <c r="N3">
        <v>111</v>
      </c>
      <c r="O3">
        <v>0</v>
      </c>
      <c r="P3" s="8">
        <f>SUM(B3:O3)</f>
        <v>3235</v>
      </c>
    </row>
    <row r="4" ht="15">
      <c r="A4" s="6" t="s">
        <v>4</v>
      </c>
      <c r="B4" s="7">
        <v>54</v>
      </c>
      <c r="C4">
        <v>1</v>
      </c>
      <c r="D4">
        <v>2</v>
      </c>
      <c r="E4">
        <v>1</v>
      </c>
      <c r="F4">
        <v>3</v>
      </c>
      <c r="G4">
        <v>1</v>
      </c>
      <c r="H4">
        <v>1</v>
      </c>
      <c r="I4">
        <v>1</v>
      </c>
      <c r="J4">
        <v>2</v>
      </c>
      <c r="K4">
        <v>2</v>
      </c>
      <c r="L4">
        <v>1</v>
      </c>
      <c r="M4">
        <v>4</v>
      </c>
      <c r="N4">
        <v>3</v>
      </c>
      <c r="O4">
        <f>G25</f>
        <v>0</v>
      </c>
      <c r="P4" s="8">
        <f>SUM(B4:O4)</f>
        <v>76</v>
      </c>
    </row>
    <row r="5" ht="15">
      <c r="A5" s="9" t="s">
        <v>5</v>
      </c>
      <c r="B5" s="10">
        <f>B4</f>
        <v>54</v>
      </c>
      <c r="C5" s="9">
        <f>C4+B4</f>
        <v>55</v>
      </c>
      <c r="D5" s="9">
        <f>C5+D4</f>
        <v>57</v>
      </c>
      <c r="E5" s="9">
        <f>D5+E4</f>
        <v>58</v>
      </c>
      <c r="F5" s="9">
        <f t="shared" ref="F5:O5" si="1">E5+F4</f>
        <v>61</v>
      </c>
      <c r="G5" s="9">
        <f t="shared" si="1"/>
        <v>62</v>
      </c>
      <c r="H5" s="9">
        <f t="shared" si="1"/>
        <v>63</v>
      </c>
      <c r="I5" s="9">
        <f t="shared" si="1"/>
        <v>64</v>
      </c>
      <c r="J5" s="9">
        <f t="shared" si="1"/>
        <v>66</v>
      </c>
      <c r="K5" s="9">
        <f t="shared" si="1"/>
        <v>68</v>
      </c>
      <c r="L5" s="9">
        <f t="shared" si="1"/>
        <v>69</v>
      </c>
      <c r="M5" s="9">
        <f t="shared" si="1"/>
        <v>73</v>
      </c>
      <c r="N5" s="9">
        <f t="shared" si="1"/>
        <v>76</v>
      </c>
      <c r="O5" s="9">
        <f t="shared" si="1"/>
        <v>76</v>
      </c>
      <c r="P5" s="11">
        <f>P4-O5</f>
        <v>0</v>
      </c>
    </row>
    <row r="6" ht="15">
      <c r="A6" s="9" t="s">
        <v>6</v>
      </c>
      <c r="B6" s="10">
        <f>B3</f>
        <v>2389</v>
      </c>
      <c r="C6">
        <f>B6+C3</f>
        <v>2432</v>
      </c>
      <c r="D6">
        <f t="shared" ref="D6:O6" si="2">C6+D3</f>
        <v>2524</v>
      </c>
      <c r="E6">
        <f t="shared" si="2"/>
        <v>2551</v>
      </c>
      <c r="F6">
        <f t="shared" si="2"/>
        <v>2661</v>
      </c>
      <c r="G6">
        <f t="shared" si="2"/>
        <v>2703</v>
      </c>
      <c r="H6">
        <f t="shared" si="2"/>
        <v>2733</v>
      </c>
      <c r="I6">
        <f t="shared" si="2"/>
        <v>2778</v>
      </c>
      <c r="J6">
        <f t="shared" si="2"/>
        <v>2868</v>
      </c>
      <c r="K6">
        <f t="shared" si="2"/>
        <v>2928</v>
      </c>
      <c r="L6">
        <f t="shared" si="2"/>
        <v>2989</v>
      </c>
      <c r="M6">
        <f t="shared" si="2"/>
        <v>3124</v>
      </c>
      <c r="N6">
        <f t="shared" si="2"/>
        <v>3235</v>
      </c>
      <c r="O6">
        <f t="shared" si="2"/>
        <v>3235</v>
      </c>
      <c r="P6" s="11">
        <f>P3-O6</f>
        <v>0</v>
      </c>
    </row>
    <row r="7" ht="15">
      <c r="A7" s="12" t="s">
        <v>7</v>
      </c>
      <c r="B7" s="5"/>
      <c r="P7" s="8"/>
    </row>
    <row r="8" ht="15">
      <c r="A8" s="6" t="s">
        <v>3</v>
      </c>
      <c r="B8" s="7">
        <v>528</v>
      </c>
      <c r="C8" s="8"/>
      <c r="D8">
        <v>228</v>
      </c>
      <c r="E8">
        <v>90</v>
      </c>
      <c r="F8">
        <v>175</v>
      </c>
      <c r="G8">
        <v>55</v>
      </c>
      <c r="H8">
        <v>90</v>
      </c>
      <c r="I8">
        <v>119</v>
      </c>
      <c r="J8">
        <v>40</v>
      </c>
      <c r="K8">
        <v>338</v>
      </c>
      <c r="L8">
        <v>316</v>
      </c>
      <c r="M8">
        <v>51</v>
      </c>
      <c r="N8">
        <v>227</v>
      </c>
      <c r="O8">
        <v>0</v>
      </c>
      <c r="P8">
        <f>SUM(B8:O8)</f>
        <v>2257</v>
      </c>
    </row>
    <row r="9" ht="15">
      <c r="A9" s="6" t="s">
        <v>4</v>
      </c>
      <c r="B9" s="7">
        <v>6</v>
      </c>
      <c r="C9" s="8">
        <v>0</v>
      </c>
      <c r="D9">
        <v>3</v>
      </c>
      <c r="E9">
        <v>1</v>
      </c>
      <c r="F9">
        <v>2</v>
      </c>
      <c r="G9">
        <v>1</v>
      </c>
      <c r="H9">
        <v>1</v>
      </c>
      <c r="I9">
        <v>2</v>
      </c>
      <c r="J9">
        <v>1</v>
      </c>
      <c r="K9">
        <v>3</v>
      </c>
      <c r="L9">
        <v>3</v>
      </c>
      <c r="M9">
        <v>1</v>
      </c>
      <c r="N9">
        <v>4</v>
      </c>
      <c r="O9">
        <f>G26</f>
        <v>1</v>
      </c>
      <c r="P9">
        <f>SUM(B9:O9)</f>
        <v>29</v>
      </c>
    </row>
    <row r="10" ht="15">
      <c r="A10" s="9" t="s">
        <v>8</v>
      </c>
      <c r="B10" s="10">
        <f>B9</f>
        <v>6</v>
      </c>
      <c r="C10" s="9">
        <f>C9+B9</f>
        <v>6</v>
      </c>
      <c r="D10" s="9">
        <f>C10+D9</f>
        <v>9</v>
      </c>
      <c r="E10" s="9">
        <f>D10+E9</f>
        <v>10</v>
      </c>
      <c r="F10" s="9">
        <f t="shared" ref="F10:O10" si="3">E10+F9</f>
        <v>12</v>
      </c>
      <c r="G10" s="9">
        <f t="shared" si="3"/>
        <v>13</v>
      </c>
      <c r="H10" s="9">
        <f t="shared" si="3"/>
        <v>14</v>
      </c>
      <c r="I10" s="9">
        <f t="shared" si="3"/>
        <v>16</v>
      </c>
      <c r="J10" s="9">
        <f t="shared" si="3"/>
        <v>17</v>
      </c>
      <c r="K10" s="9">
        <f t="shared" si="3"/>
        <v>20</v>
      </c>
      <c r="L10" s="9">
        <f t="shared" si="3"/>
        <v>23</v>
      </c>
      <c r="M10" s="9">
        <f t="shared" si="3"/>
        <v>24</v>
      </c>
      <c r="N10" s="9">
        <f t="shared" si="3"/>
        <v>28</v>
      </c>
      <c r="O10" s="9">
        <f t="shared" si="3"/>
        <v>29</v>
      </c>
      <c r="P10" s="11">
        <f>P9-O10</f>
        <v>0</v>
      </c>
    </row>
    <row r="11" ht="15">
      <c r="A11" s="9" t="s">
        <v>6</v>
      </c>
      <c r="B11" s="10">
        <f>B8</f>
        <v>528</v>
      </c>
      <c r="C11">
        <f>B11+C8</f>
        <v>528</v>
      </c>
      <c r="D11">
        <f t="shared" ref="D11:O11" si="4">C11+D8</f>
        <v>756</v>
      </c>
      <c r="E11">
        <f t="shared" si="4"/>
        <v>846</v>
      </c>
      <c r="F11">
        <f t="shared" si="4"/>
        <v>1021</v>
      </c>
      <c r="G11">
        <f t="shared" si="4"/>
        <v>1076</v>
      </c>
      <c r="H11">
        <f t="shared" si="4"/>
        <v>1166</v>
      </c>
      <c r="I11">
        <f t="shared" si="4"/>
        <v>1285</v>
      </c>
      <c r="J11">
        <f t="shared" si="4"/>
        <v>1325</v>
      </c>
      <c r="K11">
        <f t="shared" si="4"/>
        <v>1663</v>
      </c>
      <c r="L11">
        <f t="shared" si="4"/>
        <v>1979</v>
      </c>
      <c r="M11">
        <f t="shared" si="4"/>
        <v>2030</v>
      </c>
      <c r="N11">
        <f t="shared" si="4"/>
        <v>2257</v>
      </c>
      <c r="O11">
        <f t="shared" si="4"/>
        <v>2257</v>
      </c>
      <c r="P11" s="11">
        <f>P8-O11</f>
        <v>0</v>
      </c>
    </row>
    <row r="12" ht="15">
      <c r="A12" s="12" t="s">
        <v>9</v>
      </c>
      <c r="B12" s="5"/>
      <c r="P12" s="8"/>
    </row>
    <row r="13" ht="15">
      <c r="A13" s="6" t="s">
        <v>3</v>
      </c>
      <c r="B13" s="7">
        <v>116</v>
      </c>
      <c r="C13">
        <v>104</v>
      </c>
      <c r="D13">
        <v>90</v>
      </c>
      <c r="E13">
        <v>40</v>
      </c>
      <c r="F13">
        <v>28</v>
      </c>
      <c r="G13">
        <v>0</v>
      </c>
      <c r="H13">
        <v>68</v>
      </c>
      <c r="I13">
        <v>43</v>
      </c>
      <c r="J13">
        <v>61</v>
      </c>
      <c r="K13">
        <v>14</v>
      </c>
      <c r="L13">
        <v>135</v>
      </c>
      <c r="M13">
        <v>152</v>
      </c>
      <c r="N13">
        <v>196</v>
      </c>
      <c r="O13">
        <f>25+25+25+20</f>
        <v>95</v>
      </c>
      <c r="P13" s="8">
        <f>SUM(B13:O13)</f>
        <v>1142</v>
      </c>
    </row>
    <row r="14" ht="15">
      <c r="A14" s="6" t="s">
        <v>4</v>
      </c>
      <c r="B14" s="7">
        <v>4</v>
      </c>
      <c r="C14">
        <v>3</v>
      </c>
      <c r="D14">
        <v>2</v>
      </c>
      <c r="E14">
        <v>1</v>
      </c>
      <c r="F14">
        <v>1</v>
      </c>
      <c r="G14">
        <v>0</v>
      </c>
      <c r="H14">
        <v>2</v>
      </c>
      <c r="I14">
        <v>2</v>
      </c>
      <c r="J14">
        <v>3</v>
      </c>
      <c r="K14">
        <v>1</v>
      </c>
      <c r="L14">
        <v>4</v>
      </c>
      <c r="M14">
        <v>8</v>
      </c>
      <c r="N14">
        <v>9</v>
      </c>
      <c r="O14">
        <f>G24</f>
        <v>4</v>
      </c>
      <c r="P14" s="8">
        <f>SUM(B14:O14)</f>
        <v>44</v>
      </c>
    </row>
    <row r="15" ht="15">
      <c r="A15" s="9" t="s">
        <v>8</v>
      </c>
      <c r="B15" s="10">
        <f>B14</f>
        <v>4</v>
      </c>
      <c r="C15" s="9">
        <f>C14+B14</f>
        <v>7</v>
      </c>
      <c r="D15" s="9">
        <f>C15+D14</f>
        <v>9</v>
      </c>
      <c r="E15" s="9">
        <f>D15+E14</f>
        <v>10</v>
      </c>
      <c r="F15" s="9">
        <f t="shared" ref="F15:O15" si="5">E15+F14</f>
        <v>11</v>
      </c>
      <c r="G15" s="9">
        <f t="shared" si="5"/>
        <v>11</v>
      </c>
      <c r="H15" s="9">
        <f t="shared" si="5"/>
        <v>13</v>
      </c>
      <c r="I15" s="9">
        <f t="shared" si="5"/>
        <v>15</v>
      </c>
      <c r="J15" s="9">
        <f t="shared" si="5"/>
        <v>18</v>
      </c>
      <c r="K15" s="9">
        <f t="shared" si="5"/>
        <v>19</v>
      </c>
      <c r="L15" s="9">
        <f t="shared" si="5"/>
        <v>23</v>
      </c>
      <c r="M15" s="9">
        <f t="shared" si="5"/>
        <v>31</v>
      </c>
      <c r="N15" s="9">
        <f t="shared" si="5"/>
        <v>40</v>
      </c>
      <c r="O15" s="9">
        <f t="shared" si="5"/>
        <v>44</v>
      </c>
      <c r="P15" s="11">
        <f>P14-O15</f>
        <v>0</v>
      </c>
    </row>
    <row r="16" ht="15">
      <c r="A16" s="9" t="s">
        <v>6</v>
      </c>
      <c r="B16" s="10">
        <f>B13</f>
        <v>116</v>
      </c>
      <c r="C16">
        <f>B16+C13</f>
        <v>220</v>
      </c>
      <c r="D16">
        <f t="shared" ref="D16:O16" si="6">C16+D13</f>
        <v>310</v>
      </c>
      <c r="E16">
        <f t="shared" si="6"/>
        <v>350</v>
      </c>
      <c r="F16">
        <f t="shared" si="6"/>
        <v>378</v>
      </c>
      <c r="G16">
        <f t="shared" si="6"/>
        <v>378</v>
      </c>
      <c r="H16">
        <f t="shared" si="6"/>
        <v>446</v>
      </c>
      <c r="I16">
        <f t="shared" si="6"/>
        <v>489</v>
      </c>
      <c r="J16">
        <f t="shared" si="6"/>
        <v>550</v>
      </c>
      <c r="K16">
        <f t="shared" si="6"/>
        <v>564</v>
      </c>
      <c r="L16">
        <f t="shared" si="6"/>
        <v>699</v>
      </c>
      <c r="M16">
        <f t="shared" si="6"/>
        <v>851</v>
      </c>
      <c r="N16">
        <f t="shared" si="6"/>
        <v>1047</v>
      </c>
      <c r="O16">
        <f t="shared" si="6"/>
        <v>1142</v>
      </c>
      <c r="P16" s="11">
        <f>P13-O16</f>
        <v>0</v>
      </c>
    </row>
    <row r="17">
      <c r="A17" s="9" t="s">
        <v>10</v>
      </c>
      <c r="B17" s="10"/>
      <c r="P17">
        <f>P4+P9+P14</f>
        <v>149</v>
      </c>
    </row>
    <row r="18">
      <c r="A18" s="9" t="s">
        <v>11</v>
      </c>
      <c r="P18">
        <f>P3+P8+P13</f>
        <v>6634</v>
      </c>
    </row>
    <row r="20" thickBot="1" ht="15"/>
    <row r="21">
      <c r="C21" s="13" t="s">
        <v>12</v>
      </c>
      <c r="D21" s="14"/>
      <c r="E21" s="14"/>
      <c r="F21" s="14"/>
      <c r="G21" s="15"/>
    </row>
    <row r="22" ht="15.75">
      <c r="A22" s="16"/>
      <c r="B22" s="17" t="s">
        <v>13</v>
      </c>
      <c r="C22" s="18" t="s">
        <v>14</v>
      </c>
      <c r="D22" s="19" t="s">
        <v>15</v>
      </c>
      <c r="E22" s="19" t="s">
        <v>16</v>
      </c>
      <c r="F22" s="19" t="s">
        <v>17</v>
      </c>
      <c r="G22" s="20" t="s">
        <v>1</v>
      </c>
    </row>
    <row r="23" ht="15.75">
      <c r="A23" s="21" t="s">
        <v>18</v>
      </c>
      <c r="B23" s="22"/>
      <c r="C23" s="23"/>
      <c r="D23" s="21"/>
      <c r="E23" s="21"/>
      <c r="F23" s="21"/>
      <c r="G23" s="24"/>
    </row>
    <row r="24" ht="15.75">
      <c r="A24" s="25" t="s">
        <v>19</v>
      </c>
      <c r="B24" s="26">
        <v>9</v>
      </c>
      <c r="C24" s="27">
        <v>0</v>
      </c>
      <c r="D24" s="27">
        <v>3</v>
      </c>
      <c r="E24" s="27">
        <v>1</v>
      </c>
      <c r="F24" s="27">
        <v>0</v>
      </c>
      <c r="G24" s="28">
        <f>SUM(C24:F24)</f>
        <v>4</v>
      </c>
    </row>
    <row r="25" ht="15.75">
      <c r="A25" s="25" t="s">
        <v>20</v>
      </c>
      <c r="B25" s="26">
        <v>3</v>
      </c>
      <c r="C25" s="27">
        <v>0</v>
      </c>
      <c r="D25" s="27">
        <v>0</v>
      </c>
      <c r="E25" s="27">
        <v>0</v>
      </c>
      <c r="F25" s="27">
        <v>0</v>
      </c>
      <c r="G25" s="28">
        <f>SUM(C25:F25)</f>
        <v>0</v>
      </c>
    </row>
    <row r="26" ht="15.75">
      <c r="A26" s="25" t="s">
        <v>21</v>
      </c>
      <c r="B26" s="26">
        <v>4</v>
      </c>
      <c r="C26" s="27">
        <v>0</v>
      </c>
      <c r="D26" s="27">
        <v>0</v>
      </c>
      <c r="E26" s="27">
        <v>0</v>
      </c>
      <c r="F26" s="27">
        <v>1</v>
      </c>
      <c r="G26" s="28">
        <f>SUM(C26:F26)</f>
        <v>1</v>
      </c>
    </row>
    <row r="29">
      <c r="A29" s="29" t="s">
        <v>22</v>
      </c>
    </row>
    <row r="30" ht="21">
      <c r="A30" s="29" t="s">
        <v>23</v>
      </c>
    </row>
    <row r="31">
      <c r="A31" s="30" t="s">
        <v>24</v>
      </c>
    </row>
    <row r="32">
      <c r="A32" s="30" t="s">
        <v>25</v>
      </c>
    </row>
    <row r="33">
      <c r="A33" s="30" t="s">
        <v>26</v>
      </c>
    </row>
    <row r="34" ht="23">
      <c r="A34" s="30" t="s">
        <v>27</v>
      </c>
    </row>
    <row r="36" ht="14.5">
      <c r="A36" s="31" t="s">
        <v>28</v>
      </c>
    </row>
    <row r="37" ht="14.5">
      <c r="A37" s="31" t="s">
        <v>29</v>
      </c>
    </row>
  </sheetData>
  <mergeCells count="2">
    <mergeCell ref="C21:G21"/>
    <mergeCell ref="C22:C23"/>
  </mergeCells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 topLeftCell="A20">
      <selection activeCell="B36" sqref="B36"/>
    </sheetView>
  </sheetViews>
  <sheetFormatPr defaultRowHeight="14.25"/>
  <cols>
    <col min="2" max="2" width="13.875" bestFit="1" customWidth="1"/>
    <col min="3" max="3" width="13.875" customWidth="1"/>
    <col min="4" max="4" width="35.125" bestFit="1" customWidth="1"/>
    <col min="5" max="6" width="11.125" bestFit="1" customWidth="1"/>
    <col min="7" max="7" width="18.25" customWidth="1"/>
    <col min="8" max="8" width="18.375" customWidth="1"/>
    <col min="9" max="9" width="20.375" bestFit="1" customWidth="1"/>
    <col min="10" max="15" width="11.125" bestFit="1" customWidth="1"/>
    <col min="18" max="18" width="12.125" bestFit="1" customWidth="1"/>
  </cols>
  <sheetData>
    <row r="1" ht="27">
      <c r="I1" s="32" t="s">
        <v>30</v>
      </c>
    </row>
    <row r="3" ht="15">
      <c r="C3" s="3" t="s">
        <v>31</v>
      </c>
      <c r="D3" s="3">
        <v>45748</v>
      </c>
      <c r="E3" s="3">
        <f>EOMONTH(D3,1)</f>
        <v>45808</v>
      </c>
      <c r="F3" s="3">
        <f t="shared" ref="F3:P3" si="0">EOMONTH(E3,1)</f>
        <v>45838</v>
      </c>
      <c r="G3" s="3">
        <f t="shared" si="0"/>
        <v>45869</v>
      </c>
      <c r="H3" s="3">
        <f t="shared" si="0"/>
        <v>45900</v>
      </c>
      <c r="I3" s="3">
        <f t="shared" si="0"/>
        <v>45930</v>
      </c>
      <c r="J3" s="3">
        <f t="shared" si="0"/>
        <v>45961</v>
      </c>
      <c r="K3" s="3">
        <f t="shared" si="0"/>
        <v>45991</v>
      </c>
      <c r="L3" s="3">
        <f t="shared" si="0"/>
        <v>46022</v>
      </c>
      <c r="M3" s="3">
        <f t="shared" si="0"/>
        <v>46053</v>
      </c>
      <c r="N3" s="3">
        <f t="shared" si="0"/>
        <v>46081</v>
      </c>
      <c r="O3" s="3">
        <f t="shared" si="0"/>
        <v>46112</v>
      </c>
      <c r="P3" s="3">
        <f t="shared" si="0"/>
        <v>46142</v>
      </c>
      <c r="Q3" s="3" t="s">
        <v>1</v>
      </c>
    </row>
    <row r="4" ht="15">
      <c r="B4" s="4" t="s">
        <v>2</v>
      </c>
      <c r="C4" s="33"/>
    </row>
    <row r="5" ht="15">
      <c r="B5" s="6" t="s">
        <v>3</v>
      </c>
      <c r="C5" s="8">
        <v>1232</v>
      </c>
      <c r="D5" s="8">
        <v>0</v>
      </c>
      <c r="E5" s="8">
        <v>0</v>
      </c>
      <c r="F5" s="8">
        <v>90</v>
      </c>
      <c r="G5" s="8">
        <v>0</v>
      </c>
      <c r="H5" s="8">
        <v>0</v>
      </c>
      <c r="I5" s="8">
        <v>86</v>
      </c>
      <c r="J5" s="8">
        <v>0</v>
      </c>
      <c r="K5" s="8">
        <v>73</v>
      </c>
      <c r="L5" s="8">
        <v>40</v>
      </c>
      <c r="M5" s="8">
        <v>123</v>
      </c>
      <c r="N5" s="8"/>
      <c r="O5" s="8">
        <v>56</v>
      </c>
      <c r="P5" s="8">
        <v>0</v>
      </c>
      <c r="Q5" s="8">
        <f>SUM(C5:P5)</f>
        <v>1700</v>
      </c>
    </row>
    <row r="6" ht="15">
      <c r="B6" s="6" t="s">
        <v>4</v>
      </c>
      <c r="C6" s="6">
        <v>32</v>
      </c>
      <c r="D6" s="8">
        <v>0</v>
      </c>
      <c r="E6" s="8">
        <v>0</v>
      </c>
      <c r="F6" s="8">
        <v>2</v>
      </c>
      <c r="G6" s="8">
        <v>0</v>
      </c>
      <c r="H6" s="8">
        <v>0</v>
      </c>
      <c r="I6" s="8">
        <v>1</v>
      </c>
      <c r="J6" s="8">
        <v>0</v>
      </c>
      <c r="K6" s="8">
        <v>1</v>
      </c>
      <c r="L6" s="8">
        <v>1</v>
      </c>
      <c r="M6" s="8">
        <v>3</v>
      </c>
      <c r="N6" s="8"/>
      <c r="O6" s="8">
        <v>1</v>
      </c>
      <c r="P6" s="8">
        <v>0</v>
      </c>
      <c r="Q6" s="8">
        <f>SUM(C6:O6)</f>
        <v>41</v>
      </c>
    </row>
    <row r="7" ht="15">
      <c r="B7" s="9" t="s">
        <v>6</v>
      </c>
      <c r="C7" s="9">
        <f>C5</f>
        <v>1232</v>
      </c>
      <c r="D7" s="9">
        <f>C7+D5</f>
        <v>1232</v>
      </c>
      <c r="E7" s="9">
        <f>D7+E5</f>
        <v>1232</v>
      </c>
      <c r="F7" s="9">
        <f t="shared" ref="F7:P7" si="1">E7+F5</f>
        <v>1322</v>
      </c>
      <c r="G7" s="9">
        <f t="shared" si="1"/>
        <v>1322</v>
      </c>
      <c r="H7" s="9">
        <f t="shared" si="1"/>
        <v>1322</v>
      </c>
      <c r="I7" s="9">
        <f t="shared" si="1"/>
        <v>1408</v>
      </c>
      <c r="J7" s="9">
        <f t="shared" si="1"/>
        <v>1408</v>
      </c>
      <c r="K7" s="9">
        <f t="shared" si="1"/>
        <v>1481</v>
      </c>
      <c r="L7" s="9">
        <f t="shared" si="1"/>
        <v>1521</v>
      </c>
      <c r="M7" s="9">
        <f t="shared" si="1"/>
        <v>1644</v>
      </c>
      <c r="N7" s="9">
        <f t="shared" si="1"/>
        <v>1644</v>
      </c>
      <c r="O7" s="9">
        <f t="shared" si="1"/>
        <v>1700</v>
      </c>
      <c r="P7" s="9">
        <f t="shared" si="1"/>
        <v>1700</v>
      </c>
      <c r="Q7" s="11">
        <f>Q5-O7</f>
        <v>0</v>
      </c>
    </row>
    <row r="8" ht="15">
      <c r="B8" s="9" t="s">
        <v>5</v>
      </c>
      <c r="C8">
        <f>C6</f>
        <v>32</v>
      </c>
      <c r="D8">
        <f>D6+C8</f>
        <v>32</v>
      </c>
      <c r="E8">
        <f t="shared" ref="E8:P8" si="2">E6+D8</f>
        <v>32</v>
      </c>
      <c r="F8">
        <f t="shared" si="2"/>
        <v>34</v>
      </c>
      <c r="G8">
        <f t="shared" si="2"/>
        <v>34</v>
      </c>
      <c r="H8">
        <f t="shared" si="2"/>
        <v>34</v>
      </c>
      <c r="I8">
        <f t="shared" si="2"/>
        <v>35</v>
      </c>
      <c r="J8">
        <f t="shared" si="2"/>
        <v>35</v>
      </c>
      <c r="K8">
        <f t="shared" si="2"/>
        <v>36</v>
      </c>
      <c r="L8">
        <f t="shared" si="2"/>
        <v>37</v>
      </c>
      <c r="M8">
        <f t="shared" si="2"/>
        <v>40</v>
      </c>
      <c r="N8">
        <f t="shared" si="2"/>
        <v>40</v>
      </c>
      <c r="O8">
        <f t="shared" si="2"/>
        <v>41</v>
      </c>
      <c r="P8">
        <f t="shared" si="2"/>
        <v>41</v>
      </c>
      <c r="Q8" s="8">
        <f>Q6-O8</f>
        <v>0</v>
      </c>
    </row>
    <row r="9" ht="15">
      <c r="B9" s="12" t="s">
        <v>19</v>
      </c>
      <c r="C9" s="33"/>
      <c r="Q9" s="8"/>
    </row>
    <row r="10" ht="15">
      <c r="B10" s="6" t="s">
        <v>3</v>
      </c>
      <c r="C10" s="6">
        <v>32</v>
      </c>
      <c r="D10" s="8">
        <v>0</v>
      </c>
      <c r="E10" s="8">
        <v>73</v>
      </c>
      <c r="F10" s="8">
        <v>26</v>
      </c>
      <c r="G10" s="8">
        <v>112</v>
      </c>
      <c r="H10" s="8">
        <v>30</v>
      </c>
      <c r="I10" s="8">
        <v>28</v>
      </c>
      <c r="J10" s="8">
        <v>51</v>
      </c>
      <c r="K10" s="8">
        <v>78</v>
      </c>
      <c r="L10" s="8">
        <v>20</v>
      </c>
      <c r="M10" s="8">
        <v>60</v>
      </c>
      <c r="N10" s="8">
        <v>0</v>
      </c>
      <c r="O10" s="8">
        <v>143</v>
      </c>
      <c r="P10" s="8">
        <f>H22</f>
        <v>99</v>
      </c>
      <c r="Q10" s="8">
        <f>SUM(C10:P10)</f>
        <v>752</v>
      </c>
      <c r="R10">
        <f>Q5+Q10</f>
        <v>2452</v>
      </c>
    </row>
    <row r="11" ht="15">
      <c r="B11" s="6" t="s">
        <v>4</v>
      </c>
      <c r="C11" s="6">
        <v>1</v>
      </c>
      <c r="D11" s="8">
        <v>0</v>
      </c>
      <c r="E11" s="8">
        <v>2</v>
      </c>
      <c r="F11" s="8">
        <v>1</v>
      </c>
      <c r="G11" s="8">
        <v>2</v>
      </c>
      <c r="H11" s="8">
        <v>1</v>
      </c>
      <c r="I11" s="8">
        <v>1</v>
      </c>
      <c r="J11" s="8">
        <v>2</v>
      </c>
      <c r="K11" s="8">
        <v>3</v>
      </c>
      <c r="L11" s="8">
        <v>1</v>
      </c>
      <c r="M11" s="8">
        <v>2</v>
      </c>
      <c r="N11" s="8">
        <v>0</v>
      </c>
      <c r="O11" s="8">
        <v>5</v>
      </c>
      <c r="P11" s="8">
        <f>H21</f>
        <v>3</v>
      </c>
      <c r="Q11" s="8">
        <f>SUM(C11:P11)</f>
        <v>24</v>
      </c>
    </row>
    <row r="12" ht="15">
      <c r="B12" s="9" t="s">
        <v>32</v>
      </c>
      <c r="C12" s="9">
        <f>C10</f>
        <v>32</v>
      </c>
      <c r="D12" s="9">
        <f>C12+D10</f>
        <v>32</v>
      </c>
      <c r="E12" s="9">
        <f>D12+E10</f>
        <v>105</v>
      </c>
      <c r="F12" s="9">
        <f t="shared" ref="F12:O12" si="3">E12+F10</f>
        <v>131</v>
      </c>
      <c r="G12" s="9">
        <f t="shared" si="3"/>
        <v>243</v>
      </c>
      <c r="H12" s="9">
        <f t="shared" si="3"/>
        <v>273</v>
      </c>
      <c r="I12" s="9">
        <f t="shared" si="3"/>
        <v>301</v>
      </c>
      <c r="J12" s="9">
        <f t="shared" si="3"/>
        <v>352</v>
      </c>
      <c r="K12" s="9">
        <f t="shared" si="3"/>
        <v>430</v>
      </c>
      <c r="L12" s="9">
        <f t="shared" si="3"/>
        <v>450</v>
      </c>
      <c r="M12" s="9">
        <f t="shared" si="3"/>
        <v>510</v>
      </c>
      <c r="N12" s="9">
        <f t="shared" si="3"/>
        <v>510</v>
      </c>
      <c r="O12" s="9">
        <f t="shared" si="3"/>
        <v>653</v>
      </c>
      <c r="P12" s="9">
        <f>O12+P10</f>
        <v>752</v>
      </c>
      <c r="Q12" s="11">
        <f>Q10-P12</f>
        <v>0</v>
      </c>
    </row>
    <row r="13" ht="15">
      <c r="B13" s="9" t="s">
        <v>5</v>
      </c>
      <c r="C13">
        <f>C11</f>
        <v>1</v>
      </c>
      <c r="D13">
        <f>D11+C13</f>
        <v>1</v>
      </c>
      <c r="E13">
        <f t="shared" ref="E13:O13" si="4">E11+D13</f>
        <v>3</v>
      </c>
      <c r="F13">
        <f t="shared" si="4"/>
        <v>4</v>
      </c>
      <c r="G13">
        <f t="shared" si="4"/>
        <v>6</v>
      </c>
      <c r="H13">
        <f t="shared" si="4"/>
        <v>7</v>
      </c>
      <c r="I13">
        <f t="shared" si="4"/>
        <v>8</v>
      </c>
      <c r="J13">
        <f t="shared" si="4"/>
        <v>10</v>
      </c>
      <c r="K13">
        <f t="shared" si="4"/>
        <v>13</v>
      </c>
      <c r="L13">
        <f t="shared" si="4"/>
        <v>14</v>
      </c>
      <c r="M13">
        <f t="shared" si="4"/>
        <v>16</v>
      </c>
      <c r="N13">
        <f t="shared" si="4"/>
        <v>16</v>
      </c>
      <c r="O13">
        <f t="shared" si="4"/>
        <v>21</v>
      </c>
      <c r="P13">
        <f>O13+P11</f>
        <v>24</v>
      </c>
      <c r="Q13" s="8">
        <f>Q11-P13</f>
        <v>0</v>
      </c>
    </row>
    <row r="14" s="1" customFormat="1" ht="15">
      <c r="B14" s="34"/>
      <c r="D14" s="1">
        <f>D12*990</f>
        <v>31680</v>
      </c>
      <c r="E14" s="1">
        <f t="shared" ref="E14:O14" si="5">E12*990</f>
        <v>103950</v>
      </c>
      <c r="F14" s="1">
        <f t="shared" si="5"/>
        <v>129690</v>
      </c>
      <c r="G14" s="1">
        <f t="shared" si="5"/>
        <v>240570</v>
      </c>
      <c r="H14" s="1">
        <f t="shared" si="5"/>
        <v>270270</v>
      </c>
      <c r="I14" s="1">
        <f t="shared" si="5"/>
        <v>297990</v>
      </c>
      <c r="J14" s="1">
        <f t="shared" si="5"/>
        <v>348480</v>
      </c>
      <c r="K14" s="1">
        <f t="shared" si="5"/>
        <v>425700</v>
      </c>
      <c r="L14" s="1">
        <f t="shared" si="5"/>
        <v>445500</v>
      </c>
      <c r="M14" s="1">
        <f t="shared" si="5"/>
        <v>504900</v>
      </c>
      <c r="N14" s="1">
        <f t="shared" si="5"/>
        <v>504900</v>
      </c>
      <c r="O14" s="1">
        <f t="shared" si="5"/>
        <v>646470</v>
      </c>
      <c r="Q14" s="35"/>
      <c r="R14" s="1">
        <f>SUM(D14:O14)</f>
        <v>3950100</v>
      </c>
    </row>
    <row r="15" ht="15">
      <c r="B15" s="9"/>
      <c r="Q15" s="36"/>
    </row>
    <row r="16" ht="15">
      <c r="B16" s="9"/>
      <c r="Q16" s="36"/>
    </row>
    <row r="17" thickBot="1" ht="15">
      <c r="D17" s="37" t="s">
        <v>12</v>
      </c>
      <c r="E17" s="37"/>
      <c r="F17" s="37"/>
      <c r="G17" s="37"/>
      <c r="H17" s="37"/>
      <c r="P17">
        <f>P8+P13</f>
        <v>65</v>
      </c>
    </row>
    <row r="18" ht="14.5" customHeight="1">
      <c r="B18" s="38"/>
      <c r="C18" s="39" t="s">
        <v>33</v>
      </c>
      <c r="D18" s="39" t="s">
        <v>14</v>
      </c>
      <c r="E18" s="39" t="s">
        <v>15</v>
      </c>
      <c r="F18" s="39" t="s">
        <v>16</v>
      </c>
      <c r="G18" s="39" t="s">
        <v>17</v>
      </c>
      <c r="H18" s="40" t="s">
        <v>1</v>
      </c>
      <c r="P18">
        <f>P7+P12</f>
        <v>2452</v>
      </c>
    </row>
    <row r="19" ht="15.75">
      <c r="B19" s="23" t="s">
        <v>18</v>
      </c>
      <c r="C19" s="21"/>
      <c r="D19" s="21"/>
      <c r="E19" s="21"/>
      <c r="F19" s="21"/>
      <c r="G19" s="21"/>
      <c r="H19" s="24"/>
    </row>
    <row r="20" ht="15.75">
      <c r="B20" s="41" t="s">
        <v>19</v>
      </c>
      <c r="H20" s="42"/>
    </row>
    <row r="21" ht="15">
      <c r="B21" s="43" t="s">
        <v>34</v>
      </c>
      <c r="C21" s="44">
        <v>5</v>
      </c>
      <c r="D21" s="44">
        <v>0</v>
      </c>
      <c r="E21" s="44">
        <v>0</v>
      </c>
      <c r="F21" s="44">
        <v>2</v>
      </c>
      <c r="G21" s="44">
        <v>1</v>
      </c>
      <c r="H21" s="28">
        <f>SUM(D21:G21)</f>
        <v>3</v>
      </c>
    </row>
    <row r="22" ht="15">
      <c r="B22" s="43" t="s">
        <v>35</v>
      </c>
      <c r="C22" s="44">
        <v>143</v>
      </c>
      <c r="D22">
        <v>0</v>
      </c>
      <c r="E22">
        <v>0</v>
      </c>
      <c r="F22" s="45">
        <f>50+25</f>
        <v>75</v>
      </c>
      <c r="G22">
        <v>24</v>
      </c>
      <c r="H22" s="28">
        <f t="shared" ref="H22:H25" si="6">SUM(D22:G22)</f>
        <v>99</v>
      </c>
    </row>
    <row r="23" ht="15.75">
      <c r="B23" s="41" t="s">
        <v>20</v>
      </c>
      <c r="H23" s="28">
        <f t="shared" si="6"/>
        <v>0</v>
      </c>
    </row>
    <row r="24" ht="15">
      <c r="B24" s="43" t="s">
        <v>34</v>
      </c>
      <c r="C24" s="44">
        <v>0</v>
      </c>
      <c r="D24" s="44">
        <v>0</v>
      </c>
      <c r="E24" s="44">
        <v>0</v>
      </c>
      <c r="F24" s="44">
        <v>0</v>
      </c>
      <c r="G24" s="44">
        <v>0</v>
      </c>
      <c r="H24" s="28">
        <f t="shared" si="6"/>
        <v>0</v>
      </c>
    </row>
    <row r="25" ht="15">
      <c r="B25" s="43" t="s">
        <v>35</v>
      </c>
      <c r="C25" s="44">
        <v>55</v>
      </c>
      <c r="D25">
        <v>0</v>
      </c>
      <c r="E25">
        <v>0</v>
      </c>
      <c r="F25">
        <v>0</v>
      </c>
      <c r="G25">
        <v>0</v>
      </c>
      <c r="H25" s="28">
        <f t="shared" si="6"/>
        <v>0</v>
      </c>
    </row>
    <row r="26">
      <c r="B26" s="46"/>
      <c r="H26" s="42"/>
    </row>
    <row r="27" ht="15.75">
      <c r="B27" s="41" t="s">
        <v>1</v>
      </c>
      <c r="H27" s="42"/>
    </row>
    <row r="28">
      <c r="B28" s="43" t="s">
        <v>34</v>
      </c>
      <c r="C28">
        <f>C21+C24</f>
        <v>5</v>
      </c>
      <c r="D28">
        <f>SUM(D21+D24)</f>
        <v>0</v>
      </c>
      <c r="E28">
        <f t="shared" ref="E28:G28" si="7">SUM(E21+E24)</f>
        <v>0</v>
      </c>
      <c r="F28">
        <f t="shared" si="7"/>
        <v>2</v>
      </c>
      <c r="G28">
        <f t="shared" si="7"/>
        <v>1</v>
      </c>
      <c r="H28" s="42">
        <f>SUM(D28:G28)</f>
        <v>3</v>
      </c>
    </row>
    <row r="29" thickBot="1" ht="15">
      <c r="B29" s="47" t="s">
        <v>35</v>
      </c>
      <c r="C29" s="48">
        <f>C22+C25</f>
        <v>198</v>
      </c>
      <c r="D29" s="48">
        <f>D25+D22</f>
        <v>0</v>
      </c>
      <c r="E29" s="48">
        <f t="shared" ref="E29:G29" si="8">E25+E22</f>
        <v>0</v>
      </c>
      <c r="F29" s="48">
        <f t="shared" si="8"/>
        <v>75</v>
      </c>
      <c r="G29" s="48">
        <f t="shared" si="8"/>
        <v>24</v>
      </c>
      <c r="H29" s="49">
        <f>SUM(D29:G29)</f>
        <v>99</v>
      </c>
    </row>
    <row r="31" thickBot="1" ht="15"/>
    <row r="32" ht="14.5">
      <c r="B32" s="29" t="s">
        <v>22</v>
      </c>
      <c r="H32" s="50" t="s">
        <v>36</v>
      </c>
      <c r="I32" s="51" t="s">
        <v>37</v>
      </c>
      <c r="J32" s="52" t="s">
        <v>38</v>
      </c>
    </row>
    <row r="33" ht="58">
      <c r="B33" s="53" t="s">
        <v>39</v>
      </c>
      <c r="H33" s="54" t="s">
        <v>40</v>
      </c>
      <c r="I33" s="55" t="s">
        <v>41</v>
      </c>
      <c r="J33" s="42" t="s">
        <v>42</v>
      </c>
    </row>
    <row r="34" ht="14.5">
      <c r="B34" t="s">
        <v>43</v>
      </c>
      <c r="H34" s="54" t="s">
        <v>44</v>
      </c>
      <c r="I34" s="55" t="s">
        <v>45</v>
      </c>
      <c r="J34" s="42" t="s">
        <v>46</v>
      </c>
    </row>
    <row r="35" ht="29">
      <c r="B35" t="s">
        <v>47</v>
      </c>
      <c r="H35" s="54" t="s">
        <v>48</v>
      </c>
      <c r="I35" s="55" t="s">
        <v>49</v>
      </c>
      <c r="J35" s="42" t="s">
        <v>50</v>
      </c>
    </row>
    <row r="36" ht="29">
      <c r="B36" t="s">
        <v>51</v>
      </c>
      <c r="H36" s="54" t="s">
        <v>52</v>
      </c>
      <c r="I36" s="55" t="s">
        <v>53</v>
      </c>
      <c r="J36" s="42" t="s">
        <v>54</v>
      </c>
    </row>
    <row r="37" thickBot="1" ht="15">
      <c r="H37" s="54" t="s">
        <v>55</v>
      </c>
      <c r="I37" s="55" t="s">
        <v>56</v>
      </c>
      <c r="J37" s="49" t="s">
        <v>57</v>
      </c>
    </row>
    <row r="38" thickBot="1" ht="29.5">
      <c r="H38" s="54" t="s">
        <v>58</v>
      </c>
      <c r="I38" s="55" t="s">
        <v>56</v>
      </c>
      <c r="J38" s="49" t="s">
        <v>57</v>
      </c>
    </row>
    <row r="39" ht="29">
      <c r="D39" s="56"/>
      <c r="H39" s="54" t="s">
        <v>59</v>
      </c>
      <c r="I39" s="55" t="s">
        <v>60</v>
      </c>
      <c r="J39" s="57" t="s">
        <v>61</v>
      </c>
    </row>
    <row r="40" thickBot="1" ht="15">
      <c r="H40" s="58" t="s">
        <v>62</v>
      </c>
      <c r="I40" s="59" t="s">
        <v>63</v>
      </c>
      <c r="J40" s="60" t="s">
        <v>64</v>
      </c>
    </row>
    <row r="43" ht="14.5">
      <c r="D43" s="61"/>
      <c r="E43" s="61"/>
      <c r="F43" s="61"/>
      <c r="G43" s="61"/>
    </row>
    <row r="44" ht="14.5">
      <c r="D44" s="61"/>
      <c r="E44" s="61"/>
      <c r="F44" s="61"/>
      <c r="G44" s="61"/>
    </row>
    <row r="45" ht="14.5">
      <c r="D45" s="61"/>
      <c r="E45" s="61"/>
      <c r="F45" s="61"/>
      <c r="G45" s="61"/>
    </row>
    <row r="46" ht="14.5">
      <c r="D46" s="61"/>
      <c r="E46" s="61"/>
      <c r="F46" s="61"/>
      <c r="G46" s="61"/>
    </row>
    <row r="47" ht="14.5">
      <c r="D47" s="61"/>
      <c r="E47" s="61"/>
      <c r="F47" s="61"/>
      <c r="G47" s="61"/>
    </row>
    <row r="48" ht="14.5">
      <c r="D48" s="61"/>
      <c r="E48" s="61"/>
      <c r="F48" s="61"/>
      <c r="G48" s="61"/>
    </row>
    <row r="49" ht="14.5">
      <c r="D49" s="61"/>
      <c r="E49" s="61"/>
      <c r="F49" s="61"/>
      <c r="G49" s="61"/>
    </row>
    <row r="50" ht="14.5">
      <c r="B50" s="53"/>
      <c r="D50" s="61"/>
      <c r="E50" s="61"/>
      <c r="F50" s="61"/>
      <c r="G50" s="61"/>
    </row>
    <row r="57" ht="16">
      <c r="D57" s="62"/>
    </row>
  </sheetData>
  <mergeCells count="3">
    <mergeCell ref="D17:H17"/>
    <mergeCell ref="C18:C19"/>
    <mergeCell ref="D18:D19"/>
  </mergeCells>
  <legacyDrawing r:id="rId1"/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C6" sqref="C6"/>
    </sheetView>
  </sheetViews>
  <sheetFormatPr defaultRowHeight="14.25"/>
  <cols>
    <col min="3" max="3" width="13.875" style="1" bestFit="1" customWidth="1"/>
    <col min="5" max="5" width="2.125" customWidth="1"/>
    <col min="6" max="6" width="11.125" bestFit="1" customWidth="1"/>
    <col min="12" max="12" width="11.125" bestFit="1" customWidth="1"/>
  </cols>
  <sheetData>
    <row r="1">
      <c r="C1" s="63" t="s">
        <v>65</v>
      </c>
      <c r="D1" s="64"/>
      <c r="E1" s="64"/>
      <c r="F1" s="64"/>
    </row>
    <row r="3">
      <c r="C3" s="1" t="s">
        <v>66</v>
      </c>
      <c r="F3" s="65" t="s">
        <v>67</v>
      </c>
      <c r="I3" t="s">
        <v>68</v>
      </c>
    </row>
    <row r="4">
      <c r="C4" s="66"/>
      <c r="F4" s="65"/>
      <c r="I4" t="s">
        <v>69</v>
      </c>
      <c r="J4" s="67">
        <f>F8/C8</f>
        <v>0.970489677180152</v>
      </c>
    </row>
    <row r="5">
      <c r="B5" t="s">
        <v>70</v>
      </c>
      <c r="C5" s="68">
        <v>39646623</v>
      </c>
      <c r="D5" s="69">
        <f>C5/$C$8</f>
        <v>0.68827808414210578</v>
      </c>
      <c r="E5" s="69"/>
      <c r="F5" s="66">
        <v>34006532</v>
      </c>
      <c r="G5" s="69">
        <f>F5/F8</f>
        <v>0.60831589486535287</v>
      </c>
      <c r="I5" t="s">
        <v>70</v>
      </c>
      <c r="J5" s="67">
        <f>F5/C5</f>
        <v>0.85774094807519929</v>
      </c>
    </row>
    <row r="6">
      <c r="B6" t="s">
        <v>71</v>
      </c>
      <c r="C6" s="66">
        <v>17956000</v>
      </c>
      <c r="D6" s="69">
        <f>C6/$C$8</f>
        <v>0.31172191585789416</v>
      </c>
      <c r="E6" s="69"/>
      <c r="F6" s="66">
        <v>21896219</v>
      </c>
      <c r="G6" s="69">
        <f>F6/F8</f>
        <v>0.39168410513464713</v>
      </c>
      <c r="I6" t="s">
        <v>71</v>
      </c>
      <c r="J6" s="67">
        <f>F6/C6</f>
        <v>1.219437458231232</v>
      </c>
    </row>
    <row r="7">
      <c r="C7" s="66"/>
    </row>
    <row r="8">
      <c r="B8" t="s">
        <v>1</v>
      </c>
      <c r="C8" s="66">
        <f>SUM(C5:C7)</f>
        <v>57602623</v>
      </c>
      <c r="F8" s="70">
        <f>SUM(F5:F7)</f>
        <v>55902751</v>
      </c>
    </row>
    <row r="9">
      <c r="C9" s="66"/>
    </row>
    <row r="10">
      <c r="C10" s="71" t="s">
        <v>72</v>
      </c>
      <c r="D10" s="71"/>
      <c r="E10" s="71"/>
      <c r="F10" s="71"/>
    </row>
    <row r="11">
      <c r="C11" s="66"/>
    </row>
    <row r="12">
      <c r="C12" s="72" t="s">
        <v>73</v>
      </c>
      <c r="F12" s="73" t="s">
        <v>74</v>
      </c>
      <c r="I12" t="s">
        <v>75</v>
      </c>
    </row>
    <row r="13">
      <c r="C13" s="66"/>
      <c r="F13" s="65"/>
      <c r="I13" t="s">
        <v>69</v>
      </c>
      <c r="J13" s="67">
        <f>F17/C17-1</f>
        <v>0.59521054933317763</v>
      </c>
      <c r="L13" s="70"/>
    </row>
    <row r="14">
      <c r="B14" t="s">
        <v>70</v>
      </c>
      <c r="C14" s="66">
        <v>17011955.129999999</v>
      </c>
      <c r="D14" s="69">
        <f>C14/C17</f>
        <v>0.63834917624082321</v>
      </c>
      <c r="E14" s="69"/>
      <c r="F14" s="66">
        <v>25541542.359999999</v>
      </c>
      <c r="G14" s="69">
        <f>F14/F17</f>
        <v>0.60080450415931608</v>
      </c>
      <c r="I14" t="s">
        <v>70</v>
      </c>
      <c r="J14" s="67">
        <f>F14/C14-1</f>
        <v>0.50138782784339497</v>
      </c>
    </row>
    <row r="15">
      <c r="B15" t="s">
        <v>71</v>
      </c>
      <c r="C15" s="66">
        <v>9637965.8900000006</v>
      </c>
      <c r="D15" s="69">
        <f>C15/C17</f>
        <v>0.36165082375917679</v>
      </c>
      <c r="E15" s="69"/>
      <c r="F15" s="66">
        <v>16970692.789999999</v>
      </c>
      <c r="G15" s="69">
        <f>F15/F17</f>
        <v>0.39919549584068387</v>
      </c>
      <c r="I15" t="s">
        <v>71</v>
      </c>
      <c r="J15" s="67">
        <f>F15/C15-1</f>
        <v>0.76081685530845955</v>
      </c>
    </row>
    <row r="16">
      <c r="C16" s="66"/>
    </row>
    <row r="17">
      <c r="B17" t="s">
        <v>1</v>
      </c>
      <c r="C17" s="66">
        <f>SUM(C14:C16)</f>
        <v>26649921.02</v>
      </c>
      <c r="F17" s="70">
        <f>SUM(F14:F16)</f>
        <v>42512235.149999999</v>
      </c>
    </row>
    <row r="19">
      <c r="C19" s="64" t="s">
        <v>76</v>
      </c>
      <c r="D19" s="64"/>
      <c r="E19" s="64"/>
      <c r="F19" s="64"/>
    </row>
    <row r="21">
      <c r="C21" s="74" t="s">
        <v>77</v>
      </c>
      <c r="F21" s="73" t="s">
        <v>78</v>
      </c>
      <c r="I21" t="s">
        <v>75</v>
      </c>
    </row>
    <row r="22">
      <c r="F22" s="65"/>
      <c r="I22" t="s">
        <v>69</v>
      </c>
      <c r="J22" s="67">
        <f>F26/C26-1</f>
        <v>0.14412756618580391</v>
      </c>
    </row>
    <row r="23" ht="15">
      <c r="B23" t="s">
        <v>79</v>
      </c>
      <c r="C23" s="75">
        <v>45740209</v>
      </c>
      <c r="D23" s="67"/>
      <c r="E23" s="67"/>
      <c r="F23" s="76">
        <v>52332634</v>
      </c>
      <c r="G23" s="67"/>
      <c r="J23" s="67"/>
    </row>
    <row r="24">
      <c r="D24" s="67"/>
      <c r="E24" s="67"/>
      <c r="F24" s="1"/>
      <c r="G24" s="67"/>
      <c r="J24" s="67"/>
    </row>
    <row r="26">
      <c r="B26" t="s">
        <v>1</v>
      </c>
      <c r="C26" s="1">
        <f>SUM(C23:C25)</f>
        <v>45740209</v>
      </c>
      <c r="F26" s="70">
        <f>SUM(F23:F25)</f>
        <v>52332634</v>
      </c>
      <c r="I26" s="67"/>
    </row>
  </sheetData>
  <mergeCells count="3">
    <mergeCell ref="C1:F1"/>
    <mergeCell ref="C10:F10"/>
    <mergeCell ref="C19:F19"/>
  </mergeCells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>
      <selection activeCell="B27" sqref="B27"/>
    </sheetView>
  </sheetViews>
  <sheetFormatPr defaultRowHeight="14.25"/>
  <cols>
    <col min="2" max="2" width="40.25" bestFit="1" customWidth="1"/>
    <col min="3" max="3" width="11.125" bestFit="1" customWidth="1"/>
    <col min="4" max="4" width="10.5" bestFit="1" customWidth="1"/>
    <col min="5" max="5" width="11.125" bestFit="1" customWidth="1"/>
    <col min="6" max="7" width="9.625" bestFit="1" customWidth="1"/>
    <col min="8" max="8" width="12.125" bestFit="1" customWidth="1"/>
    <col min="9" max="9" width="14.875" bestFit="1" customWidth="1"/>
  </cols>
  <sheetData>
    <row r="3" thickBot="1" ht="21">
      <c r="B3" s="77" t="s">
        <v>80</v>
      </c>
      <c r="C3" s="78"/>
      <c r="D3" s="79"/>
      <c r="E3" s="79"/>
    </row>
    <row r="4" thickBot="1" ht="19.5">
      <c r="B4" s="80"/>
      <c r="C4" s="81" t="s">
        <v>13</v>
      </c>
      <c r="D4" s="82"/>
      <c r="E4" s="82"/>
    </row>
    <row r="5" thickBot="1" ht="15.75">
      <c r="B5" s="83"/>
      <c r="C5" s="84"/>
      <c r="D5" s="85"/>
      <c r="E5" s="85"/>
    </row>
    <row r="6" thickBot="1" ht="26.25">
      <c r="C6" s="86" t="s">
        <v>66</v>
      </c>
      <c r="D6" s="87" t="s">
        <v>81</v>
      </c>
      <c r="E6" s="87"/>
      <c r="F6" s="87"/>
      <c r="G6" s="87"/>
      <c r="H6" s="87"/>
      <c r="I6" s="88" t="s">
        <v>82</v>
      </c>
    </row>
    <row r="7" thickBot="1" ht="16.5">
      <c r="B7" s="89" t="s">
        <v>83</v>
      </c>
      <c r="C7" s="90"/>
      <c r="D7" s="91" t="s">
        <v>84</v>
      </c>
      <c r="E7" s="91" t="s">
        <v>85</v>
      </c>
      <c r="F7" s="91" t="s">
        <v>86</v>
      </c>
      <c r="G7" s="91" t="s">
        <v>87</v>
      </c>
      <c r="H7" s="91" t="s">
        <v>88</v>
      </c>
    </row>
    <row r="8" ht="15">
      <c r="B8" s="92" t="s">
        <v>89</v>
      </c>
      <c r="C8" s="90">
        <f>Inflow!C32</f>
        <v>15385400</v>
      </c>
      <c r="D8" s="93">
        <f>Inflow!E32</f>
        <v>0</v>
      </c>
      <c r="E8" s="93">
        <f>Inflow!F32</f>
        <v>70000</v>
      </c>
      <c r="F8" s="93">
        <f>Inflow!G32</f>
        <v>40000</v>
      </c>
      <c r="G8" s="93">
        <f>Inflow!H32</f>
        <v>5040000</v>
      </c>
      <c r="H8" s="93">
        <f>SUM(D8:G8)</f>
        <v>5150000</v>
      </c>
      <c r="I8" s="70">
        <f>C8-SUM(D8:G8)</f>
        <v>10235400</v>
      </c>
    </row>
    <row r="9" ht="15">
      <c r="B9" s="92" t="s">
        <v>90</v>
      </c>
      <c r="C9" s="90">
        <f>Inflow!C33</f>
        <v>11000000</v>
      </c>
      <c r="D9" s="90">
        <f>Inflow!E33</f>
        <v>355520</v>
      </c>
      <c r="E9" s="90">
        <f>Inflow!F33</f>
        <v>607764</v>
      </c>
      <c r="F9" s="90">
        <f>Inflow!G33</f>
        <v>2608847</v>
      </c>
      <c r="G9" s="90">
        <f>Inflow!H33</f>
        <v>4051004</v>
      </c>
      <c r="H9" s="93">
        <f t="shared" ref="H9:H11" si="0">SUM(D9:G9)</f>
        <v>7623135</v>
      </c>
      <c r="I9" s="70">
        <f t="shared" ref="I9:I10" si="1">C9-SUM(D9:G9)</f>
        <v>3376865</v>
      </c>
    </row>
    <row r="10" ht="15">
      <c r="B10" s="92" t="s">
        <v>91</v>
      </c>
      <c r="C10" s="90">
        <f>Inflow!C35</f>
        <v>500000</v>
      </c>
      <c r="D10" s="90">
        <f>Inflow!E35</f>
        <v>0</v>
      </c>
      <c r="E10" s="90">
        <f>Inflow!F35</f>
        <v>34880</v>
      </c>
      <c r="F10" s="90">
        <f>Inflow!G35</f>
        <v>0</v>
      </c>
      <c r="G10" s="90">
        <f>Inflow!H35</f>
        <v>0</v>
      </c>
      <c r="H10" s="93">
        <f t="shared" si="0"/>
        <v>34880</v>
      </c>
      <c r="I10" s="70">
        <f t="shared" si="1"/>
        <v>465120</v>
      </c>
    </row>
    <row r="11" ht="15">
      <c r="B11" s="92" t="s">
        <v>88</v>
      </c>
      <c r="C11" s="94">
        <f t="shared" ref="C11:I11" si="2">SUM(C8:C10)</f>
        <v>26885400</v>
      </c>
      <c r="D11" s="94">
        <f t="shared" si="2"/>
        <v>355520</v>
      </c>
      <c r="E11" s="94">
        <f t="shared" si="2"/>
        <v>712644</v>
      </c>
      <c r="F11" s="94">
        <f t="shared" si="2"/>
        <v>2648847</v>
      </c>
      <c r="G11" s="94">
        <f t="shared" si="2"/>
        <v>9091004</v>
      </c>
      <c r="H11" s="93">
        <f t="shared" si="0"/>
        <v>12808015</v>
      </c>
      <c r="I11" s="94">
        <f t="shared" si="2"/>
        <v>14077385</v>
      </c>
    </row>
    <row r="12" thickBot="1" ht="16.5">
      <c r="B12" s="89" t="s">
        <v>92</v>
      </c>
      <c r="C12" s="90"/>
      <c r="D12" s="91"/>
      <c r="E12" s="91"/>
      <c r="I12" s="1">
        <v>11500000</v>
      </c>
    </row>
    <row r="13" ht="15">
      <c r="B13" s="92"/>
      <c r="C13" s="90"/>
      <c r="D13" s="91"/>
      <c r="E13" s="91"/>
    </row>
    <row r="14">
      <c r="B14" s="95"/>
      <c r="C14" s="90"/>
      <c r="D14" s="91"/>
      <c r="E14" s="91"/>
    </row>
    <row r="15" ht="15">
      <c r="B15" s="92" t="s">
        <v>93</v>
      </c>
      <c r="C15" s="90"/>
      <c r="D15" s="91"/>
      <c r="E15" s="91"/>
      <c r="I15" s="96">
        <f>SUM(C16:C18)</f>
        <v>10255000</v>
      </c>
    </row>
    <row r="16" thickBot="1" ht="15.75">
      <c r="B16" s="97" t="s">
        <v>94</v>
      </c>
      <c r="C16" s="98">
        <v>6875698</v>
      </c>
    </row>
    <row r="17" thickBot="1" ht="15.75">
      <c r="B17" s="97" t="s">
        <v>95</v>
      </c>
      <c r="C17" s="98">
        <v>1431113</v>
      </c>
    </row>
    <row r="18" thickBot="1" ht="15.75">
      <c r="B18" s="97" t="s">
        <v>96</v>
      </c>
      <c r="C18" s="99">
        <v>1948189</v>
      </c>
    </row>
    <row r="20" ht="15">
      <c r="B20" s="100" t="s">
        <v>97</v>
      </c>
      <c r="I20" s="96">
        <f>I15-I12</f>
        <v>-1245000</v>
      </c>
    </row>
  </sheetData>
  <mergeCells count="2">
    <mergeCell ref="C4:E4"/>
    <mergeCell ref="D6:H6"/>
  </mergeCells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 topLeftCell="A28">
      <selection activeCell="H45" sqref="H45:H47"/>
    </sheetView>
  </sheetViews>
  <sheetFormatPr defaultRowHeight="14.25"/>
  <cols>
    <col min="2" max="2" width="34.5" bestFit="1" customWidth="1"/>
    <col min="3" max="3" width="11.125" bestFit="1" customWidth="1"/>
    <col min="4" max="4" width="1.75" customWidth="1"/>
    <col min="5" max="5" width="11.125" bestFit="1" customWidth="1"/>
    <col min="6" max="6" width="19.625" customWidth="1"/>
    <col min="7" max="7" width="11.125" bestFit="1" customWidth="1"/>
    <col min="8" max="8" width="12.125" bestFit="1" customWidth="1"/>
    <col min="9" max="9" width="11.125" bestFit="1" customWidth="1"/>
  </cols>
  <sheetData>
    <row r="3" thickBot="1" ht="15"/>
    <row r="4" thickBot="1" ht="21.5">
      <c r="B4" s="77" t="s">
        <v>98</v>
      </c>
      <c r="C4" s="78"/>
      <c r="D4" s="101"/>
      <c r="E4" s="79"/>
      <c r="F4" s="79"/>
      <c r="G4" s="79"/>
      <c r="H4" s="79"/>
      <c r="I4" s="79"/>
    </row>
    <row r="5" thickBot="1" ht="19">
      <c r="B5" s="80"/>
      <c r="C5" s="81" t="s">
        <v>99</v>
      </c>
      <c r="D5" s="82"/>
      <c r="E5" s="82"/>
      <c r="F5" s="82"/>
      <c r="G5" s="82"/>
      <c r="H5" s="82"/>
      <c r="I5" s="82"/>
    </row>
    <row r="6" thickBot="1" ht="15">
      <c r="B6" s="83"/>
      <c r="C6" s="84"/>
      <c r="D6" s="84"/>
      <c r="E6" s="102" t="s">
        <v>100</v>
      </c>
      <c r="F6" s="102"/>
      <c r="G6" s="102"/>
      <c r="H6" s="102"/>
      <c r="I6" s="102"/>
    </row>
    <row r="7" ht="38" customHeight="1">
      <c r="B7" s="103" t="s">
        <v>83</v>
      </c>
      <c r="C7" s="104" t="s">
        <v>66</v>
      </c>
      <c r="D7" s="104"/>
      <c r="E7" s="105" t="s">
        <v>81</v>
      </c>
      <c r="F7" s="105"/>
      <c r="G7" s="105"/>
      <c r="H7" s="105"/>
      <c r="I7" s="106" t="s">
        <v>82</v>
      </c>
    </row>
    <row r="8" ht="14.5">
      <c r="B8" s="107" t="s">
        <v>101</v>
      </c>
      <c r="C8" s="108"/>
      <c r="D8" s="108"/>
      <c r="E8" s="109" t="s">
        <v>84</v>
      </c>
      <c r="F8" s="109" t="s">
        <v>85</v>
      </c>
      <c r="G8" s="109" t="s">
        <v>86</v>
      </c>
      <c r="H8" s="109" t="s">
        <v>87</v>
      </c>
      <c r="I8" s="109"/>
    </row>
    <row r="9" ht="14.5">
      <c r="B9" s="107" t="s">
        <v>102</v>
      </c>
      <c r="C9" s="108"/>
      <c r="D9" s="108"/>
      <c r="E9" s="109"/>
      <c r="F9" s="109"/>
      <c r="G9" s="109"/>
      <c r="H9" s="109"/>
      <c r="I9" s="109"/>
    </row>
    <row r="10" ht="14.5">
      <c r="B10" s="110" t="s">
        <v>103</v>
      </c>
      <c r="C10" s="111">
        <v>1800000</v>
      </c>
      <c r="D10" s="108"/>
      <c r="E10" s="112"/>
      <c r="F10" s="112"/>
      <c r="G10" s="112"/>
      <c r="H10" s="112"/>
      <c r="I10" s="109">
        <f>C10-SUM(E10:H10)</f>
        <v>1800000</v>
      </c>
    </row>
    <row r="11" ht="14.5">
      <c r="B11" s="113" t="s">
        <v>104</v>
      </c>
      <c r="C11" s="111">
        <v>1000000</v>
      </c>
      <c r="D11" s="114"/>
      <c r="E11" s="114"/>
      <c r="F11" s="114"/>
      <c r="G11" s="114"/>
      <c r="H11" s="114"/>
      <c r="I11" s="109">
        <f t="shared" ref="I11:I39" si="0">C11-SUM(E11:H11)</f>
        <v>1000000</v>
      </c>
    </row>
    <row r="12" ht="14.5">
      <c r="B12" s="110" t="s">
        <v>105</v>
      </c>
      <c r="C12" s="111">
        <v>825000</v>
      </c>
      <c r="D12" s="108"/>
      <c r="E12" s="112"/>
      <c r="F12" s="112"/>
      <c r="G12" s="112"/>
      <c r="H12" s="112"/>
      <c r="I12" s="109">
        <f t="shared" si="0"/>
        <v>825000</v>
      </c>
    </row>
    <row r="13" ht="14.5">
      <c r="B13" s="110" t="s">
        <v>106</v>
      </c>
      <c r="C13" s="111">
        <v>680400</v>
      </c>
      <c r="D13" s="108"/>
      <c r="E13" s="109"/>
      <c r="F13" s="109"/>
      <c r="G13" s="109"/>
      <c r="H13" s="109"/>
      <c r="I13" s="109">
        <f t="shared" si="0"/>
        <v>680400</v>
      </c>
    </row>
    <row r="14" ht="14.5">
      <c r="B14" s="113" t="s">
        <v>107</v>
      </c>
      <c r="C14" s="111">
        <v>1080000</v>
      </c>
      <c r="D14" s="108"/>
      <c r="E14" s="109"/>
      <c r="F14" s="109"/>
      <c r="G14" s="109"/>
      <c r="H14" s="109"/>
      <c r="I14" s="109">
        <f t="shared" si="0"/>
        <v>1080000</v>
      </c>
    </row>
    <row r="15" ht="14.5">
      <c r="B15" s="113" t="s">
        <v>108</v>
      </c>
      <c r="C15" s="111">
        <v>700000</v>
      </c>
      <c r="D15" s="108"/>
      <c r="E15" s="109"/>
      <c r="F15" s="109"/>
      <c r="G15" s="109"/>
      <c r="H15" s="109"/>
      <c r="I15" s="109">
        <f t="shared" si="0"/>
        <v>700000</v>
      </c>
    </row>
    <row r="16" ht="14.5">
      <c r="B16" s="110" t="s">
        <v>109</v>
      </c>
      <c r="C16" s="111">
        <v>800000</v>
      </c>
      <c r="D16" s="108"/>
      <c r="E16" s="109"/>
      <c r="F16" s="109"/>
      <c r="G16" s="109"/>
      <c r="H16" s="109"/>
      <c r="I16" s="109">
        <f t="shared" si="0"/>
        <v>800000</v>
      </c>
    </row>
    <row r="17" ht="14.5">
      <c r="B17" s="110"/>
      <c r="C17" s="114"/>
      <c r="D17" s="114"/>
      <c r="E17" s="114"/>
      <c r="F17" s="114"/>
      <c r="G17" s="114"/>
      <c r="H17" s="114"/>
      <c r="I17" s="109">
        <f t="shared" si="0"/>
        <v>0</v>
      </c>
    </row>
    <row r="18" ht="14.5">
      <c r="B18" s="110" t="s">
        <v>110</v>
      </c>
      <c r="C18" s="111">
        <v>750000</v>
      </c>
      <c r="D18" s="108"/>
      <c r="E18" s="112"/>
      <c r="F18" s="112"/>
      <c r="G18" s="112"/>
      <c r="H18" s="112"/>
      <c r="I18" s="109">
        <f>C18-SUM(E18:H18)</f>
        <v>750000</v>
      </c>
    </row>
    <row r="19" ht="14.5">
      <c r="B19" s="110" t="s">
        <v>111</v>
      </c>
      <c r="C19" s="111">
        <v>5000000</v>
      </c>
      <c r="D19" s="115"/>
      <c r="E19" s="109"/>
      <c r="F19" s="109"/>
      <c r="G19" s="109"/>
      <c r="H19" s="109">
        <v>5000000</v>
      </c>
      <c r="I19" s="109">
        <f t="shared" si="0"/>
        <v>0</v>
      </c>
    </row>
    <row r="20" ht="14.5">
      <c r="B20" s="110" t="s">
        <v>112</v>
      </c>
      <c r="C20" s="111">
        <v>1750000</v>
      </c>
      <c r="D20" s="115"/>
      <c r="E20" s="109"/>
      <c r="F20" s="109"/>
      <c r="G20" s="109"/>
      <c r="H20" s="109"/>
      <c r="I20" s="109">
        <f t="shared" si="0"/>
        <v>1750000</v>
      </c>
    </row>
    <row r="21" ht="14.5">
      <c r="B21" s="116"/>
      <c r="C21" s="114"/>
      <c r="D21" s="114"/>
      <c r="E21" s="114"/>
      <c r="F21" s="114"/>
      <c r="G21" s="114"/>
      <c r="H21" s="114"/>
      <c r="I21" s="109">
        <f t="shared" si="0"/>
        <v>0</v>
      </c>
    </row>
    <row r="22" ht="14.5">
      <c r="B22" s="107" t="s">
        <v>113</v>
      </c>
      <c r="C22" s="108">
        <f t="shared" ref="C22" si="1">K22+M22</f>
        <v>0</v>
      </c>
      <c r="D22" s="108"/>
      <c r="E22" s="109"/>
      <c r="F22" s="109"/>
      <c r="G22" s="109"/>
      <c r="H22" s="109"/>
      <c r="I22" s="109">
        <f t="shared" si="0"/>
        <v>0</v>
      </c>
    </row>
    <row r="23" ht="14.5">
      <c r="B23" s="113" t="s">
        <v>114</v>
      </c>
      <c r="C23" s="111">
        <v>300000</v>
      </c>
      <c r="D23" s="108"/>
      <c r="E23" s="112"/>
      <c r="F23" s="112"/>
      <c r="G23" s="112"/>
      <c r="H23" s="112"/>
      <c r="I23" s="109">
        <f t="shared" si="0"/>
        <v>300000</v>
      </c>
    </row>
    <row r="24" ht="14.5">
      <c r="B24" s="113" t="s">
        <v>115</v>
      </c>
      <c r="C24" s="111">
        <v>150000</v>
      </c>
      <c r="D24" s="108"/>
      <c r="E24" s="112"/>
      <c r="F24" s="112"/>
      <c r="G24" s="112"/>
      <c r="H24" s="112"/>
      <c r="I24" s="109">
        <f t="shared" si="0"/>
        <v>150000</v>
      </c>
    </row>
    <row r="25" ht="14.5">
      <c r="B25" s="110" t="s">
        <v>116</v>
      </c>
      <c r="C25" s="111">
        <v>400000</v>
      </c>
      <c r="D25" s="108"/>
      <c r="E25" s="112"/>
      <c r="F25" s="112"/>
      <c r="G25" s="112"/>
      <c r="H25" s="112"/>
      <c r="I25" s="109">
        <f t="shared" si="0"/>
        <v>400000</v>
      </c>
    </row>
    <row r="26" ht="14.5">
      <c r="B26" s="110" t="s">
        <v>117</v>
      </c>
      <c r="C26" s="111">
        <v>50000</v>
      </c>
      <c r="D26" s="108"/>
      <c r="E26" s="112"/>
      <c r="F26" s="108">
        <v>50000</v>
      </c>
      <c r="G26" s="112"/>
      <c r="H26" s="112"/>
      <c r="I26" s="109">
        <f t="shared" si="0"/>
        <v>0</v>
      </c>
    </row>
    <row r="27" ht="14.5">
      <c r="B27" s="110"/>
      <c r="C27" s="111"/>
      <c r="D27" s="108"/>
      <c r="E27" s="112"/>
      <c r="F27" s="112"/>
      <c r="G27" s="112"/>
      <c r="H27" s="112"/>
      <c r="I27" s="109">
        <f t="shared" si="0"/>
        <v>0</v>
      </c>
    </row>
    <row r="28" ht="14.5">
      <c r="B28" s="110"/>
      <c r="C28" s="111"/>
      <c r="D28" s="108"/>
      <c r="E28" s="109"/>
      <c r="F28" s="109"/>
      <c r="G28" s="109"/>
      <c r="H28" s="109"/>
      <c r="I28" s="109">
        <f t="shared" si="0"/>
        <v>0</v>
      </c>
    </row>
    <row r="29" ht="14.5">
      <c r="B29" s="107"/>
      <c r="C29" s="108"/>
      <c r="D29" s="108"/>
      <c r="E29" s="109"/>
      <c r="F29" s="109"/>
      <c r="G29" s="109"/>
      <c r="H29" s="109"/>
      <c r="I29" s="109">
        <f t="shared" si="0"/>
        <v>0</v>
      </c>
    </row>
    <row r="30" ht="14.5">
      <c r="B30" s="117" t="s">
        <v>118</v>
      </c>
      <c r="C30" s="108">
        <v>100000</v>
      </c>
      <c r="D30" s="108"/>
      <c r="E30" s="108">
        <v>0</v>
      </c>
      <c r="F30" s="108">
        <v>20000</v>
      </c>
      <c r="G30" s="108">
        <v>40000</v>
      </c>
      <c r="H30" s="108">
        <v>40000</v>
      </c>
      <c r="I30" s="109">
        <f t="shared" si="0"/>
        <v>0</v>
      </c>
    </row>
    <row r="31" ht="14.5">
      <c r="B31" s="107"/>
      <c r="C31" s="108"/>
      <c r="D31" s="108"/>
      <c r="E31" s="108"/>
      <c r="F31" s="108"/>
      <c r="G31" s="108"/>
      <c r="H31" s="108"/>
      <c r="I31" s="109">
        <f t="shared" si="0"/>
        <v>0</v>
      </c>
    </row>
    <row r="32" ht="14.5">
      <c r="B32" s="107" t="s">
        <v>119</v>
      </c>
      <c r="C32" s="108">
        <f>SUM(C10:C30)</f>
        <v>15385400</v>
      </c>
      <c r="D32" s="108">
        <f t="shared" ref="D32:H32" si="2">SUM(D12:D30)</f>
        <v>0</v>
      </c>
      <c r="E32" s="108">
        <f t="shared" si="2"/>
        <v>0</v>
      </c>
      <c r="F32" s="108">
        <f t="shared" si="2"/>
        <v>70000</v>
      </c>
      <c r="G32" s="108">
        <f t="shared" si="2"/>
        <v>40000</v>
      </c>
      <c r="H32" s="108">
        <f t="shared" si="2"/>
        <v>5040000</v>
      </c>
      <c r="I32" s="109">
        <f t="shared" si="0"/>
        <v>10235400</v>
      </c>
    </row>
    <row r="33" ht="14.5">
      <c r="B33" s="118" t="s">
        <v>120</v>
      </c>
      <c r="C33" s="119">
        <f>11000000</f>
        <v>11000000</v>
      </c>
      <c r="D33" s="120"/>
      <c r="E33" s="70">
        <v>355520</v>
      </c>
      <c r="F33" s="121">
        <v>607764</v>
      </c>
      <c r="G33" s="121">
        <f>3444773+127358-F33-E33</f>
        <v>2608847</v>
      </c>
      <c r="H33" s="122">
        <f>7658015-34880-SUM(E33:G33)</f>
        <v>4051004</v>
      </c>
      <c r="I33" s="109">
        <f t="shared" si="0"/>
        <v>3376865</v>
      </c>
    </row>
    <row r="34" ht="14.5">
      <c r="B34" s="123"/>
      <c r="C34" s="120"/>
      <c r="D34" s="120"/>
      <c r="E34" s="124"/>
      <c r="F34" s="124"/>
      <c r="G34" s="124"/>
      <c r="H34" s="124"/>
      <c r="I34" s="109">
        <f t="shared" si="0"/>
        <v>0</v>
      </c>
    </row>
    <row r="35" ht="14.5">
      <c r="B35" s="123" t="s">
        <v>121</v>
      </c>
      <c r="C35" s="120">
        <v>500000</v>
      </c>
      <c r="D35" s="120"/>
      <c r="E35" s="124">
        <v>0</v>
      </c>
      <c r="F35" s="124">
        <v>34880</v>
      </c>
      <c r="G35" s="124"/>
      <c r="H35" s="90"/>
      <c r="I35" s="109">
        <f t="shared" si="0"/>
        <v>465120</v>
      </c>
    </row>
    <row r="36" ht="14.5">
      <c r="B36" s="123"/>
      <c r="C36" s="120"/>
      <c r="D36" s="120"/>
      <c r="E36" s="124"/>
      <c r="F36" s="124"/>
      <c r="G36" s="124"/>
      <c r="H36" s="124"/>
      <c r="I36" s="109">
        <f t="shared" si="0"/>
        <v>0</v>
      </c>
    </row>
    <row r="37" ht="14.5">
      <c r="E37" s="70"/>
      <c r="I37" s="109">
        <f t="shared" si="0"/>
        <v>0</v>
      </c>
    </row>
    <row r="38" ht="14.5">
      <c r="I38" s="109">
        <f t="shared" si="0"/>
        <v>0</v>
      </c>
    </row>
    <row r="39" ht="14.5">
      <c r="B39" t="s">
        <v>122</v>
      </c>
      <c r="C39" s="70">
        <f>C32+C33+C35</f>
        <v>26885400</v>
      </c>
      <c r="D39" s="70">
        <f t="shared" ref="D39:H39" si="3">D32+D33+D35</f>
        <v>0</v>
      </c>
      <c r="E39" s="70">
        <f t="shared" si="3"/>
        <v>355520</v>
      </c>
      <c r="F39" s="70">
        <f t="shared" si="3"/>
        <v>712644</v>
      </c>
      <c r="G39" s="70">
        <f t="shared" si="3"/>
        <v>2648847</v>
      </c>
      <c r="H39" s="70">
        <f t="shared" si="3"/>
        <v>9091004</v>
      </c>
      <c r="I39" s="109">
        <f t="shared" si="0"/>
        <v>14077385</v>
      </c>
    </row>
    <row r="45" ht="14.5">
      <c r="H45" s="1"/>
    </row>
    <row r="46" ht="14.5">
      <c r="H46" s="1"/>
    </row>
    <row r="47" ht="14.5">
      <c r="H47" s="1"/>
    </row>
  </sheetData>
  <mergeCells count="2">
    <mergeCell ref="C5:F5"/>
    <mergeCell ref="E6:G6"/>
  </mergeCells>
  <conditionalFormatting sqref="B18">
    <cfRule priority="1" type="colorScale">
      <colorScale>
        <cfvo type="min"/>
        <cfvo type="max"/>
        <color rgb="FFFCFCFF"/>
        <color rgb="FF63BE7B"/>
      </colorScale>
    </cfRule>
    <cfRule priority="2" type="dataBar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{1CCB52A7-4199-455D-9F1B-81014EE53B36}</x14:id>
        </ext>
      </extLst>
    </cfRule>
    <cfRule priority="3" type="dataBar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{E41F3203-B8FD-43EA-9BB6-0F510D306B73}</x14:id>
        </ext>
      </extLst>
    </cfRule>
    <cfRule priority="4" type="colorScale">
      <colorScale>
        <cfvo type="min"/>
        <cfvo type="max"/>
        <color rgb="FFFCFCFF"/>
        <color rgb="FF63BE7B"/>
      </colorScale>
    </cfRule>
  </conditionalFormatting>
  <conditionalFormatting sqref="B17">
    <cfRule priority="5" type="colorScale">
      <colorScale>
        <cfvo type="min"/>
        <cfvo type="max"/>
        <color rgb="FFFCFCFF"/>
        <color rgb="FF63BE7B"/>
      </colorScale>
    </cfRule>
    <cfRule priority="6" type="dataBar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{52AFA7ED-7DAA-47C4-A425-18A7436F562F}</x14:id>
        </ext>
      </extLst>
    </cfRule>
    <cfRule priority="7" type="dataBar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{3B9073A9-1C34-40F5-B4FE-716E756ACCCC}</x14:id>
        </ext>
      </extLst>
    </cfRule>
    <cfRule priority="8" type="colorScale">
      <colorScale>
        <cfvo type="min"/>
        <cfvo type="max"/>
        <color rgb="FFFCFCFF"/>
        <color rgb="FF63BE7B"/>
      </colorScale>
    </cfRule>
  </conditionalFormatting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id="{1CCB52A7-4199-455D-9F1B-81014EE53B36}" type="dataBar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B18</xm:sqref>
        </x14:conditionalFormatting>
        <x14:conditionalFormatting xmlns:xm="http://schemas.microsoft.com/office/excel/2006/main">
          <x14:cfRule id="{E41F3203-B8FD-43EA-9BB6-0F510D306B73}" type="dataBar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B18</xm:sqref>
        </x14:conditionalFormatting>
        <x14:conditionalFormatting xmlns:xm="http://schemas.microsoft.com/office/excel/2006/main">
          <x14:cfRule id="{52AFA7ED-7DAA-47C4-A425-18A7436F562F}" type="dataBar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B17</xm:sqref>
        </x14:conditionalFormatting>
        <x14:conditionalFormatting xmlns:xm="http://schemas.microsoft.com/office/excel/2006/main">
          <x14:cfRule id="{3B9073A9-1C34-40F5-B4FE-716E756ACCCC}" type="dataBar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B17</xm:sqref>
        </x14:conditionalFormatting>
      </x14:conditionalFormattings>
    </ext>
  </extLst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>
      <selection activeCell="I18" sqref="I18"/>
    </sheetView>
  </sheetViews>
  <sheetFormatPr defaultRowHeight="14.25"/>
  <cols>
    <col min="3" max="3" width="12.375" bestFit="1" customWidth="1"/>
    <col min="4" max="4" width="9.625" bestFit="1" customWidth="1"/>
    <col min="9" max="9" width="11.125" bestFit="1" customWidth="1"/>
    <col min="14" max="14" width="11.125" bestFit="1" customWidth="1"/>
  </cols>
  <sheetData>
    <row r="5" ht="14.5">
      <c r="C5" t="s">
        <v>123</v>
      </c>
      <c r="D5" s="1">
        <v>400000</v>
      </c>
      <c r="F5" s="125" t="s">
        <v>124</v>
      </c>
      <c r="G5" s="90"/>
      <c r="H5" s="91"/>
      <c r="I5" s="90">
        <v>10600000</v>
      </c>
      <c r="K5" s="125" t="s">
        <v>124</v>
      </c>
      <c r="L5" s="90"/>
      <c r="M5" s="91"/>
      <c r="N5" s="90">
        <v>11000000</v>
      </c>
    </row>
    <row r="6" ht="14.5">
      <c r="C6" t="s">
        <v>125</v>
      </c>
      <c r="D6" s="1">
        <v>200000</v>
      </c>
      <c r="F6" s="125" t="s">
        <v>126</v>
      </c>
      <c r="G6" s="90"/>
      <c r="H6" s="91"/>
      <c r="I6" s="90">
        <v>124266</v>
      </c>
      <c r="K6" s="125" t="s">
        <v>126</v>
      </c>
      <c r="L6" s="90"/>
      <c r="M6" s="91"/>
      <c r="N6" s="90">
        <v>124266</v>
      </c>
    </row>
    <row r="7" ht="14.5">
      <c r="C7" t="s">
        <v>127</v>
      </c>
      <c r="D7" s="1">
        <v>300000</v>
      </c>
      <c r="F7" s="125" t="s">
        <v>128</v>
      </c>
      <c r="G7" s="90"/>
      <c r="H7" s="91"/>
      <c r="I7" s="90">
        <v>500000</v>
      </c>
      <c r="K7" s="125" t="s">
        <v>128</v>
      </c>
      <c r="L7" s="90"/>
      <c r="M7" s="91"/>
      <c r="N7" s="90">
        <v>500000</v>
      </c>
    </row>
    <row r="8" ht="14.5">
      <c r="C8" t="s">
        <v>129</v>
      </c>
      <c r="D8" s="1">
        <f>350000*0</f>
        <v>0</v>
      </c>
      <c r="F8" s="125" t="s">
        <v>130</v>
      </c>
      <c r="G8" s="90"/>
      <c r="H8" s="91"/>
      <c r="I8" s="90">
        <v>500000</v>
      </c>
      <c r="K8" s="125" t="s">
        <v>130</v>
      </c>
      <c r="L8" s="90"/>
      <c r="M8" s="91"/>
      <c r="N8" s="90">
        <v>500000</v>
      </c>
    </row>
    <row r="9" ht="14.5">
      <c r="C9" t="s">
        <v>131</v>
      </c>
      <c r="D9" s="1">
        <v>350000</v>
      </c>
      <c r="F9" s="125" t="s">
        <v>132</v>
      </c>
      <c r="G9" s="90"/>
      <c r="H9" s="91"/>
      <c r="I9" s="90">
        <v>2000000</v>
      </c>
      <c r="K9" s="126" t="s">
        <v>133</v>
      </c>
      <c r="N9" s="90">
        <v>500000</v>
      </c>
    </row>
    <row r="10" ht="14.5">
      <c r="C10" t="s">
        <v>134</v>
      </c>
      <c r="D10" s="1"/>
      <c r="F10" s="125" t="s">
        <v>135</v>
      </c>
      <c r="G10" s="90"/>
      <c r="H10" s="91"/>
      <c r="I10" s="90">
        <v>916634.44999999995</v>
      </c>
      <c r="K10" s="126" t="s">
        <v>136</v>
      </c>
      <c r="N10" s="90">
        <v>361000</v>
      </c>
    </row>
    <row r="11" ht="14.5">
      <c r="C11" t="s">
        <v>137</v>
      </c>
      <c r="D11" s="1"/>
      <c r="K11" s="126" t="s">
        <v>138</v>
      </c>
      <c r="N11" s="90">
        <v>500000</v>
      </c>
    </row>
    <row r="12" ht="14.5">
      <c r="C12" t="s">
        <v>139</v>
      </c>
      <c r="D12" s="1">
        <v>100000</v>
      </c>
      <c r="K12" s="126" t="s">
        <v>140</v>
      </c>
      <c r="N12" s="90">
        <v>200000</v>
      </c>
    </row>
    <row r="13" ht="14.5">
      <c r="C13" t="s">
        <v>141</v>
      </c>
      <c r="D13" s="1">
        <v>200000</v>
      </c>
      <c r="I13" s="70">
        <f>SUM(I5:I12)</f>
        <v>14640900.449999999</v>
      </c>
      <c r="N13" s="70">
        <f>SUM(N5:N12)</f>
        <v>13685266</v>
      </c>
    </row>
    <row r="14" ht="14.5">
      <c r="C14" t="s">
        <v>142</v>
      </c>
      <c r="D14" s="1">
        <v>100000</v>
      </c>
    </row>
    <row r="16" ht="14.5">
      <c r="D16" s="70">
        <f>SUM(D5:D15)</f>
        <v>1650000</v>
      </c>
    </row>
  </sheetData>
</worksheet>
</file>

<file path=docProps/app.xml><?xml version="1.0" encoding="utf-8"?>
<Properties xmlns="http://schemas.openxmlformats.org/officeDocument/2006/extended-properties">
  <Application>DevExpress Office File API/25.2.6.0</Application>
  <AppVersion>25.2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Nazim Sait Arif</dc:creator>
  <cp:lastModifiedBy>LAPTOP-A6EA9Q1N\Acer</cp:lastModifiedBy>
  <dcterms:created xsi:type="dcterms:W3CDTF">2026-03-27T10:47:14Z</dcterms:created>
  <dcterms:modified xsi:type="dcterms:W3CDTF">2026-04-26T15:50:03Z</dcterms:modified>
</cp:coreProperties>
</file>